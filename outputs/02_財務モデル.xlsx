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xmlns:r="http://schemas.openxmlformats.org/officeDocument/2006/relationships" name="前提" sheetId="1" state="visible" r:id="rId1"/>
    <sheet xmlns:r="http://schemas.openxmlformats.org/officeDocument/2006/relationships" name="PL" sheetId="2" state="visible" r:id="rId2"/>
    <sheet xmlns:r="http://schemas.openxmlformats.org/officeDocument/2006/relationships" name="Exit" sheetId="3" state="visible" r:id="rId3"/>
    <sheet xmlns:r="http://schemas.openxmlformats.org/officeDocument/2006/relationships" name="リターン" sheetId="4" state="visible" r:id="rId4"/>
    <sheet xmlns:r="http://schemas.openxmlformats.org/officeDocument/2006/relationships" name="感度分析" sheetId="5" state="visible" r:id="rId5"/>
    <sheet xmlns:r="http://schemas.openxmlformats.org/officeDocument/2006/relationships" name="ポートフォリオ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#,##0.0%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2"/>
    </font>
    <font>
      <name val="Calibri"/>
      <family val="2"/>
      <color rgb="FF808080"/>
      <sz val="9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color theme="1"/>
      <sz val="9"/>
    </font>
    <font>
      <name val="Calibri"/>
      <family val="2"/>
      <color theme="1"/>
      <sz val="11"/>
    </font>
    <font>
      <name val="Calibri"/>
      <family val="2"/>
      <color rgb="FF1f4e78"/>
      <sz val="11"/>
    </font>
    <font>
      <name val="Calibri"/>
      <family val="2"/>
      <color rgb="FFffffff"/>
      <sz val="14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9c5700"/>
      <sz val="11"/>
    </font>
    <font>
      <name val="Calibri"/>
      <family val="2"/>
      <color rgb="FF808080"/>
      <sz val="9"/>
    </font>
    <font>
      <name val="Calibri"/>
      <family val="2"/>
      <color rgb="FF000000"/>
      <sz val="12"/>
    </font>
    <font>
      <name val="Calibri"/>
      <family val="2"/>
      <color rgb="FF006100"/>
      <sz val="12"/>
    </font>
    <font>
      <name val="Calibri"/>
      <family val="2"/>
      <color rgb="FFc00000"/>
      <sz val="11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1"/>
  </cellStyleXfs>
  <cellXfs count="108">
    <xf numFmtId="0" fontId="0" fillId="0" borderId="0" pivotButton="0" quotePrefix="0" xfId="0"/>
    <xf numFmtId="3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general"/>
    </xf>
    <xf numFmtId="165" fontId="0" fillId="0" borderId="0" applyAlignment="1" pivotButton="0" quotePrefix="0" xfId="0">
      <alignment horizontal="general"/>
    </xf>
    <xf numFmtId="3" fontId="2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3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165" fontId="3" fillId="2" borderId="2" applyAlignment="1" pivotButton="0" quotePrefix="0" xfId="0">
      <alignment horizontal="center"/>
    </xf>
    <xf numFmtId="0" fontId="3" fillId="2" borderId="3" applyAlignment="1" pivotButton="0" quotePrefix="0" xfId="0">
      <alignment horizontal="left"/>
    </xf>
    <xf numFmtId="3" fontId="4" fillId="3" borderId="2" applyAlignment="1" pivotButton="0" quotePrefix="0" xfId="0">
      <alignment horizontal="right"/>
    </xf>
    <xf numFmtId="0" fontId="4" fillId="3" borderId="2" applyAlignment="1" pivotButton="0" quotePrefix="0" xfId="0">
      <alignment horizontal="left"/>
    </xf>
    <xf numFmtId="164" fontId="4" fillId="3" borderId="2" applyAlignment="1" pivotButton="0" quotePrefix="0" xfId="0">
      <alignment horizontal="right"/>
    </xf>
    <xf numFmtId="165" fontId="4" fillId="3" borderId="2" applyAlignment="1" pivotButton="0" quotePrefix="0" xfId="0">
      <alignment horizontal="right"/>
    </xf>
    <xf numFmtId="0" fontId="5" fillId="0" borderId="2" applyAlignment="1" pivotButton="0" quotePrefix="0" xfId="0">
      <alignment horizontal="left"/>
    </xf>
    <xf numFmtId="3" fontId="4" fillId="4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164" fontId="4" fillId="4" borderId="2" applyAlignment="1" pivotButton="0" quotePrefix="0" xfId="0">
      <alignment horizontal="right"/>
    </xf>
    <xf numFmtId="165" fontId="4" fillId="4" borderId="2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2" applyAlignment="1" pivotButton="0" quotePrefix="0" xfId="0">
      <alignment horizontal="left"/>
    </xf>
    <xf numFmtId="164" fontId="4" fillId="5" borderId="2" applyAlignment="1" pivotButton="0" quotePrefix="0" xfId="0">
      <alignment horizontal="right"/>
    </xf>
    <xf numFmtId="164" fontId="4" fillId="0" borderId="2" applyAlignment="1" pivotButton="0" quotePrefix="0" xfId="0">
      <alignment horizontal="right"/>
    </xf>
    <xf numFmtId="165" fontId="4" fillId="0" borderId="2" applyAlignment="1" pivotButton="0" quotePrefix="0" xfId="0">
      <alignment horizontal="right"/>
    </xf>
    <xf numFmtId="3" fontId="6" fillId="6" borderId="2" applyAlignment="1" pivotButton="0" quotePrefix="0" xfId="0">
      <alignment horizontal="left"/>
    </xf>
    <xf numFmtId="0" fontId="6" fillId="6" borderId="2" applyAlignment="1" pivotButton="0" quotePrefix="0" xfId="0">
      <alignment horizontal="left"/>
    </xf>
    <xf numFmtId="164" fontId="6" fillId="6" borderId="2" applyAlignment="1" pivotButton="0" quotePrefix="0" xfId="0">
      <alignment horizontal="right"/>
    </xf>
    <xf numFmtId="165" fontId="6" fillId="6" borderId="2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4" fontId="7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general"/>
    </xf>
    <xf numFmtId="165" fontId="0" fillId="0" borderId="0" applyAlignment="1" pivotButton="0" quotePrefix="0" xfId="0">
      <alignment horizontal="general"/>
    </xf>
    <xf numFmtId="164" fontId="8" fillId="7" borderId="3" applyAlignment="1" pivotButton="0" quotePrefix="0" xfId="0">
      <alignment horizontal="left" wrapText="1"/>
    </xf>
    <xf numFmtId="165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 wrapText="1"/>
    </xf>
    <xf numFmtId="164" fontId="4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164" fontId="9" fillId="8" borderId="4" applyAlignment="1" pivotButton="0" quotePrefix="0" xfId="0">
      <alignment horizontal="left" wrapText="1"/>
    </xf>
    <xf numFmtId="165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4" fontId="10" fillId="2" borderId="4" applyAlignment="1" pivotButton="0" quotePrefix="0" xfId="0">
      <alignment horizontal="center" wrapText="1"/>
    </xf>
    <xf numFmtId="165" fontId="10" fillId="2" borderId="4" applyAlignment="1" pivotButton="0" quotePrefix="0" xfId="0">
      <alignment horizontal="center" wrapText="1"/>
    </xf>
    <xf numFmtId="164" fontId="11" fillId="5" borderId="4" applyAlignment="1" pivotButton="0" quotePrefix="0" xfId="0">
      <alignment horizontal="center" wrapText="1"/>
    </xf>
    <xf numFmtId="3" fontId="9" fillId="0" borderId="4" applyAlignment="1" pivotButton="0" quotePrefix="0" xfId="0">
      <alignment horizontal="right"/>
    </xf>
    <xf numFmtId="165" fontId="4" fillId="0" borderId="1" applyAlignment="1" pivotButton="0" quotePrefix="0" xfId="0">
      <alignment horizontal="right" wrapText="1"/>
    </xf>
    <xf numFmtId="164" fontId="9" fillId="0" borderId="4" applyAlignment="1" pivotButton="0" quotePrefix="0" xfId="0">
      <alignment horizontal="center" wrapText="1"/>
    </xf>
    <xf numFmtId="165" fontId="9" fillId="0" borderId="4" applyAlignment="1" pivotButton="0" quotePrefix="0" xfId="0">
      <alignment horizontal="center" wrapText="1"/>
    </xf>
    <xf numFmtId="164" fontId="12" fillId="0" borderId="1" applyAlignment="1" pivotButton="0" quotePrefix="0" xfId="0">
      <alignment horizontal="left" wrapText="1"/>
    </xf>
    <xf numFmtId="165" fontId="0" fillId="0" borderId="0" applyAlignment="1" pivotButton="0" quotePrefix="0" xfId="0">
      <alignment horizontal="general" wrapText="1"/>
    </xf>
    <xf numFmtId="16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8" fillId="7" borderId="3" applyAlignment="1" pivotButton="0" quotePrefix="0" xfId="0">
      <alignment horizontal="left" wrapText="1"/>
    </xf>
    <xf numFmtId="0" fontId="10" fillId="2" borderId="4" applyAlignment="1" pivotButton="0" quotePrefix="0" xfId="0">
      <alignment horizontal="center" wrapText="1"/>
    </xf>
    <xf numFmtId="0" fontId="9" fillId="0" borderId="4" applyAlignment="1" pivotButton="0" quotePrefix="0" xfId="0">
      <alignment horizontal="left" wrapText="1"/>
    </xf>
    <xf numFmtId="164" fontId="9" fillId="9" borderId="4" applyAlignment="1" pivotButton="0" quotePrefix="0" xfId="0">
      <alignment horizontal="right"/>
    </xf>
    <xf numFmtId="0" fontId="9" fillId="0" borderId="4" applyAlignment="1" pivotButton="0" quotePrefix="0" xfId="0">
      <alignment horizontal="center" wrapText="1"/>
    </xf>
    <xf numFmtId="0" fontId="12" fillId="0" borderId="4" applyAlignment="1" pivotButton="0" quotePrefix="0" xfId="0">
      <alignment horizontal="left" wrapText="1"/>
    </xf>
    <xf numFmtId="165" fontId="9" fillId="9" borderId="4" applyAlignment="1" pivotButton="0" quotePrefix="0" xfId="0">
      <alignment horizontal="right"/>
    </xf>
    <xf numFmtId="0" fontId="12" fillId="0" borderId="4" applyAlignment="1" pivotButton="0" quotePrefix="0" xfId="0">
      <alignment horizontal="left" wrapText="1"/>
    </xf>
    <xf numFmtId="165" fontId="9" fillId="0" borderId="4" applyAlignment="1" pivotButton="0" quotePrefix="0" xfId="0">
      <alignment horizontal="right"/>
    </xf>
    <xf numFmtId="4" fontId="9" fillId="9" borderId="4" applyAlignment="1" pivotButton="0" quotePrefix="0" xfId="0">
      <alignment horizontal="right"/>
    </xf>
    <xf numFmtId="0" fontId="13" fillId="0" borderId="4" applyAlignment="1" pivotButton="0" quotePrefix="0" xfId="0">
      <alignment horizontal="left" wrapText="1"/>
    </xf>
    <xf numFmtId="0" fontId="14" fillId="10" borderId="4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9" fillId="8" borderId="4" applyAlignment="1" pivotButton="0" quotePrefix="0" xfId="0">
      <alignment horizontal="left" wrapText="1"/>
    </xf>
    <xf numFmtId="0" fontId="9" fillId="8" borderId="4" applyAlignment="1" pivotButton="0" quotePrefix="0" xfId="0">
      <alignment horizontal="left"/>
    </xf>
    <xf numFmtId="0" fontId="0" fillId="0" borderId="0" applyAlignment="1" pivotButton="0" quotePrefix="0" xfId="0">
      <alignment horizontal="general" wrapText="1"/>
    </xf>
    <xf numFmtId="0" fontId="1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" fontId="9" fillId="9" borderId="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3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3" fontId="10" fillId="2" borderId="4" applyAlignment="1" pivotButton="0" quotePrefix="0" xfId="0">
      <alignment horizontal="center" wrapText="1"/>
    </xf>
    <xf numFmtId="3" fontId="12" fillId="0" borderId="4" applyAlignment="1" pivotButton="0" quotePrefix="0" xfId="0">
      <alignment horizontal="center" wrapText="1"/>
    </xf>
    <xf numFmtId="165" fontId="12" fillId="0" borderId="4" applyAlignment="1" pivotButton="0" quotePrefix="0" xfId="0">
      <alignment horizontal="right"/>
    </xf>
    <xf numFmtId="164" fontId="9" fillId="0" borderId="4" applyAlignment="1" pivotButton="0" quotePrefix="0" xfId="0">
      <alignment horizontal="right"/>
    </xf>
    <xf numFmtId="3" fontId="0" fillId="0" borderId="0" applyAlignment="1" pivotButton="0" quotePrefix="0" xfId="0">
      <alignment horizontal="general" wrapText="1"/>
    </xf>
    <xf numFmtId="165" fontId="9" fillId="8" borderId="4" applyAlignment="1" pivotButton="0" quotePrefix="0" xfId="0">
      <alignment horizontal="left"/>
    </xf>
    <xf numFmtId="3" fontId="11" fillId="5" borderId="4" applyAlignment="1" pivotButton="0" quotePrefix="0" xfId="0">
      <alignment horizontal="right"/>
    </xf>
    <xf numFmtId="165" fontId="12" fillId="0" borderId="4" applyAlignment="1" pivotButton="0" quotePrefix="0" xfId="0">
      <alignment horizontal="left" wrapText="1"/>
    </xf>
    <xf numFmtId="4" fontId="11" fillId="5" borderId="4" applyAlignment="1" pivotButton="0" quotePrefix="0" xfId="0">
      <alignment horizontal="right"/>
    </xf>
    <xf numFmtId="165" fontId="11" fillId="5" borderId="4" applyAlignment="1" pivotButton="0" quotePrefix="0" xfId="0">
      <alignment horizontal="right"/>
    </xf>
    <xf numFmtId="165" fontId="15" fillId="0" borderId="4" applyAlignment="1" pivotButton="0" quotePrefix="0" xfId="0">
      <alignment horizontal="center" wrapText="1"/>
    </xf>
    <xf numFmtId="164" fontId="11" fillId="5" borderId="4" applyAlignment="1" pivotButton="0" quotePrefix="0" xfId="0">
      <alignment horizontal="right"/>
    </xf>
    <xf numFmtId="165" fontId="4" fillId="5" borderId="3" applyAlignment="1" pivotButton="0" quotePrefix="0" xfId="0">
      <alignment horizontal="right"/>
    </xf>
    <xf numFmtId="1" fontId="11" fillId="5" borderId="4" applyAlignment="1" pivotButton="0" quotePrefix="0" xfId="0">
      <alignment horizontal="right"/>
    </xf>
    <xf numFmtId="0" fontId="11" fillId="5" borderId="4" applyAlignment="1" pivotButton="0" quotePrefix="0" xfId="0">
      <alignment horizontal="left" wrapText="1"/>
    </xf>
    <xf numFmtId="165" fontId="0" fillId="0" borderId="0" applyAlignment="1" pivotButton="0" quotePrefix="0" xfId="0">
      <alignment horizontal="right"/>
    </xf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H31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34.005" bestFit="1" customWidth="1" style="79" min="1" max="1"/>
    <col width="14.005" bestFit="1" customWidth="1" style="103" min="2" max="2"/>
    <col width="10.005" bestFit="1" customWidth="1" style="103" min="3" max="3"/>
    <col width="8.005000000000001" bestFit="1" customWidth="1" style="103" min="4" max="4"/>
    <col width="48.005" bestFit="1" customWidth="1" style="103" min="5" max="5"/>
    <col width="12.43357142857143" bestFit="1" customWidth="1" style="103" min="6" max="6"/>
    <col width="12.43357142857143" bestFit="1" customWidth="1" style="77" min="7" max="7"/>
    <col width="12.43357142857143" bestFit="1" customWidth="1" style="79" min="8" max="8"/>
  </cols>
  <sheetData>
    <row r="1" ht="26" customHeight="1">
      <c r="A1" s="62" t="inlineStr">
        <is>
          <t>前提（Assumptions）― 黄=編集可能入力 / 緑=数式算出。Solafune（衛星データ解析×経済安保デュアルユース）</t>
        </is>
      </c>
      <c r="B1" s="104" t="n"/>
      <c r="C1" s="104" t="n"/>
      <c r="D1" s="104" t="n"/>
      <c r="E1" s="104" t="n"/>
      <c r="F1" s="105" t="n"/>
      <c r="G1" s="77" t="n"/>
      <c r="H1" s="44" t="n"/>
    </row>
    <row r="2" ht="17.25" customHeight="1">
      <c r="A2" s="44" t="n"/>
      <c r="B2" s="35" t="n"/>
      <c r="C2" s="35" t="n"/>
      <c r="D2" s="35" t="n"/>
      <c r="E2" s="35" t="n"/>
      <c r="F2" s="35" t="n"/>
      <c r="G2" s="77" t="n"/>
      <c r="H2" s="44" t="n"/>
    </row>
    <row r="3" ht="22.5" customFormat="1" customHeight="1" s="50">
      <c r="A3" s="63" t="inlineStr">
        <is>
          <t>項目</t>
        </is>
      </c>
      <c r="B3" s="52" t="inlineStr">
        <is>
          <t>値</t>
        </is>
      </c>
      <c r="C3" s="52" t="inlineStr">
        <is>
          <t>単位</t>
        </is>
      </c>
      <c r="D3" s="52" t="inlineStr">
        <is>
          <t>仮</t>
        </is>
      </c>
      <c r="E3" s="52" t="inlineStr">
        <is>
          <t>注記/出典</t>
        </is>
      </c>
      <c r="F3" s="55" t="n"/>
      <c r="G3" s="44" t="n"/>
      <c r="H3" s="44" t="n"/>
    </row>
    <row r="4" ht="21.75" customHeight="1">
      <c r="A4" s="75" t="inlineStr">
        <is>
          <t>■ ファンド前提（最新・確定）</t>
        </is>
      </c>
      <c r="B4" s="93" t="n"/>
      <c r="C4" s="93" t="n"/>
      <c r="D4" s="93" t="n"/>
      <c r="E4" s="93" t="n"/>
      <c r="F4" s="35" t="n"/>
      <c r="G4" s="77" t="n"/>
      <c r="H4" s="44" t="n"/>
    </row>
    <row r="5" ht="20.25" customHeight="1">
      <c r="A5" s="64" t="inlineStr">
        <is>
          <t>ファンド総額（3号）</t>
        </is>
      </c>
      <c r="B5" s="94" t="n">
        <v>150</v>
      </c>
      <c r="C5" s="57" t="inlineStr">
        <is>
          <t>億円</t>
        </is>
      </c>
      <c r="D5" s="57" t="n"/>
      <c r="E5" s="95" t="inlineStr">
        <is>
          <t>1号30億 DPI2.0X / 2号80億 DPI1.5X</t>
        </is>
      </c>
      <c r="F5" s="35" t="n"/>
      <c r="G5" s="77" t="n"/>
      <c r="H5" s="44" t="n"/>
    </row>
    <row r="6" ht="20.25" customHeight="1">
      <c r="A6" s="64" t="inlineStr">
        <is>
          <t>管理報酬率</t>
        </is>
      </c>
      <c r="B6" s="96" t="n">
        <v>0.02</v>
      </c>
      <c r="C6" s="57" t="inlineStr">
        <is>
          <t>/年</t>
        </is>
      </c>
      <c r="D6" s="57" t="n"/>
      <c r="E6" s="95" t="inlineStr">
        <is>
          <t>費用2%（10年累計の目安として控除）</t>
        </is>
      </c>
      <c r="F6" s="35" t="n"/>
      <c r="G6" s="77" t="n"/>
      <c r="H6" s="44" t="n"/>
    </row>
    <row r="7" ht="20.25" customHeight="1">
      <c r="A7" s="64" t="inlineStr">
        <is>
          <t>キャリー</t>
        </is>
      </c>
      <c r="B7" s="97" t="n">
        <v>0.2</v>
      </c>
      <c r="C7" s="57" t="n"/>
      <c r="D7" s="57" t="n"/>
      <c r="E7" s="95" t="inlineStr">
        <is>
          <t>成功報酬20%</t>
        </is>
      </c>
      <c r="F7" s="35" t="n"/>
      <c r="G7" s="77" t="n"/>
      <c r="H7" s="44" t="n"/>
    </row>
    <row r="8" ht="20.25" customHeight="1">
      <c r="A8" s="64" t="inlineStr">
        <is>
          <t>運用年数</t>
        </is>
      </c>
      <c r="B8" s="94" t="n">
        <v>10</v>
      </c>
      <c r="C8" s="57" t="inlineStr">
        <is>
          <t>年</t>
        </is>
      </c>
      <c r="D8" s="57" t="n"/>
      <c r="E8" s="95" t="inlineStr">
        <is>
          <t>投資5＋回収5（最大+2）</t>
        </is>
      </c>
      <c r="F8" s="35" t="n"/>
      <c r="G8" s="77" t="n"/>
      <c r="H8" s="44" t="n"/>
    </row>
    <row r="9" ht="33" customHeight="1">
      <c r="A9" s="64" t="inlineStr">
        <is>
          <t>費用控除後 投資可能資本</t>
        </is>
      </c>
      <c r="B9" s="65">
        <f>B5*(1-B6*8.3)</f>
        <v/>
      </c>
      <c r="C9" s="57" t="inlineStr">
        <is>
          <t>億円</t>
        </is>
      </c>
      <c r="D9" s="98" t="inlineStr">
        <is>
          <t>仮</t>
        </is>
      </c>
      <c r="E9" s="95" t="inlineStr">
        <is>
          <t>≒約125億円（管理2%×8.3年相当の費用累計を控除した投資可能枠の近似）</t>
        </is>
      </c>
      <c r="F9" s="35" t="n"/>
      <c r="G9" s="77" t="n"/>
      <c r="H9" s="44" t="n"/>
    </row>
    <row r="10" ht="20.25" customHeight="1">
      <c r="A10" s="64" t="inlineStr">
        <is>
          <t>ファンドリターナー閾値</t>
        </is>
      </c>
      <c r="B10" s="94" t="n">
        <v>150</v>
      </c>
      <c r="C10" s="57" t="inlineStr">
        <is>
          <t>億円</t>
        </is>
      </c>
      <c r="D10" s="57" t="n"/>
      <c r="E10" s="95" t="inlineStr">
        <is>
          <t>対象1社ポジション回収額がこれ以上でTRUE</t>
        </is>
      </c>
      <c r="F10" s="35" t="n"/>
      <c r="G10" s="77" t="n"/>
      <c r="H10" s="44" t="n"/>
    </row>
    <row r="11" ht="20.25" customHeight="1">
      <c r="A11" s="64" t="inlineStr">
        <is>
          <t>目標ネットDPI</t>
        </is>
      </c>
      <c r="B11" s="96" t="n">
        <v>3</v>
      </c>
      <c r="C11" s="57" t="inlineStr">
        <is>
          <t>X</t>
        </is>
      </c>
      <c r="D11" s="57" t="n"/>
      <c r="E11" s="95" t="inlineStr">
        <is>
          <t>グロス約4.3X（対投資可能資本）</t>
        </is>
      </c>
      <c r="F11" s="35" t="n"/>
      <c r="G11" s="77" t="n"/>
      <c r="H11" s="44" t="n"/>
    </row>
    <row r="12" ht="20.25" customHeight="1">
      <c r="A12" s="64" t="inlineStr">
        <is>
          <t>初回チケット</t>
        </is>
      </c>
      <c r="B12" s="99" t="n">
        <v>5.5</v>
      </c>
      <c r="C12" s="57" t="inlineStr">
        <is>
          <t>億円</t>
        </is>
      </c>
      <c r="D12" s="57" t="n"/>
      <c r="E12" s="95" t="inlineStr">
        <is>
          <t>初回投資額</t>
        </is>
      </c>
      <c r="F12" s="35" t="n"/>
      <c r="G12" s="77" t="n"/>
      <c r="H12" s="44" t="n"/>
    </row>
    <row r="13" ht="20.25" customHeight="1">
      <c r="A13" s="64" t="inlineStr">
        <is>
          <t>集中度上限（対ファンド総額）</t>
        </is>
      </c>
      <c r="B13" s="97" t="n">
        <v>0.13</v>
      </c>
      <c r="C13" s="57" t="n"/>
      <c r="D13" s="57" t="n"/>
      <c r="E13" s="95" t="inlineStr">
        <is>
          <t>集中度上限13%（対ファンド総額150億）</t>
        </is>
      </c>
      <c r="F13" s="35" t="n"/>
      <c r="G13" s="77" t="n"/>
      <c r="H13" s="44" t="n"/>
    </row>
    <row r="14" ht="20.25" customHeight="1">
      <c r="A14" s="64" t="inlineStr">
        <is>
          <t>集中度上限 金額</t>
        </is>
      </c>
      <c r="B14" s="65">
        <f>B5*B13</f>
        <v/>
      </c>
      <c r="C14" s="57" t="inlineStr">
        <is>
          <t>億円</t>
        </is>
      </c>
      <c r="D14" s="57" t="n"/>
      <c r="E14" s="95" t="inlineStr">
        <is>
          <t>≒約20億円（=ファンド総額150億×13%）</t>
        </is>
      </c>
      <c r="F14" s="35" t="n"/>
      <c r="G14" s="77" t="n"/>
      <c r="H14" s="44" t="n"/>
    </row>
    <row r="15" ht="20.25" customHeight="1">
      <c r="A15" s="64" t="inlineStr">
        <is>
          <t>リザーブ比率：初回（ファンド全体・集計）</t>
        </is>
      </c>
      <c r="B15" s="97" t="n">
        <v>0.45</v>
      </c>
      <c r="C15" s="57" t="n"/>
      <c r="D15" s="57" t="n"/>
      <c r="E15" s="95" t="inlineStr">
        <is>
          <t>初回:追加=45:55</t>
        </is>
      </c>
      <c r="F15" s="35" t="n"/>
      <c r="G15" s="77" t="n"/>
      <c r="H15" s="44" t="n"/>
    </row>
    <row r="16" ht="20.25" customHeight="1">
      <c r="A16" s="64" t="inlineStr">
        <is>
          <t>リザーブ比率：追加（ファンド全体・集計）</t>
        </is>
      </c>
      <c r="B16" s="97" t="n">
        <v>0.55</v>
      </c>
      <c r="C16" s="57" t="n"/>
      <c r="D16" s="57" t="n"/>
      <c r="E16" s="95" t="inlineStr">
        <is>
          <t>初回:追加=45:55</t>
        </is>
      </c>
      <c r="F16" s="35" t="n"/>
      <c r="G16" s="77" t="n"/>
      <c r="H16" s="44" t="n"/>
    </row>
    <row r="17" ht="21" customHeight="1">
      <c r="A17" s="64" t="inlineStr">
        <is>
          <t>目標エントリー持分（テーゼ）</t>
        </is>
      </c>
      <c r="B17" s="97" t="n">
        <v>0.15</v>
      </c>
      <c r="C17" s="57" t="n"/>
      <c r="D17" s="57" t="n"/>
      <c r="E17" s="95" t="inlineStr">
        <is>
          <t>目標15%。実エントリー持分は数式算出し差を注記</t>
        </is>
      </c>
      <c r="F17" s="35" t="n"/>
      <c r="G17" s="77" t="n"/>
      <c r="H17" s="44" t="n"/>
    </row>
    <row r="18" ht="17.25" customHeight="1">
      <c r="A18" s="44" t="inlineStr">
        <is>
          <t>Solafune総コミット（初回+追加, super pro-rata）</t>
        </is>
      </c>
      <c r="B18" s="100">
        <f>B12+11</f>
        <v/>
      </c>
      <c r="C18" s="35" t="inlineStr">
        <is>
          <t>億円</t>
        </is>
      </c>
      <c r="D18" s="35" t="inlineStr">
        <is>
          <t>仮</t>
        </is>
      </c>
      <c r="E18" s="35" t="n"/>
      <c r="F18" s="35" t="n"/>
      <c r="G18" s="77" t="n"/>
      <c r="H18" s="44" t="n"/>
    </row>
    <row r="19" ht="38.25" customHeight="1">
      <c r="A19" s="75" t="inlineStr">
        <is>
          <t>■ 投資・バリュエーション前提（仮・要検証）</t>
        </is>
      </c>
      <c r="B19" s="93" t="n"/>
      <c r="C19" s="93" t="n"/>
      <c r="D19" s="93" t="n"/>
      <c r="E19" s="93" t="n"/>
      <c r="F19" s="35" t="n"/>
      <c r="G19" s="77" t="n"/>
      <c r="H19" s="44" t="n"/>
    </row>
    <row r="20" ht="21.75" customHeight="1">
      <c r="A20" s="64" t="inlineStr">
        <is>
          <t>投資時点 Pre-Val（投資前評価）</t>
        </is>
      </c>
      <c r="B20" s="99" t="n">
        <v>31</v>
      </c>
      <c r="C20" s="57" t="inlineStr">
        <is>
          <t>億円</t>
        </is>
      </c>
      <c r="D20" s="98" t="inlineStr">
        <is>
          <t>仮</t>
        </is>
      </c>
      <c r="E20" s="95" t="inlineStr">
        <is>
          <t>シード〜プレA拡大組成で交渉する投資前評価（非開示につき置き）。Post=Pre31+初回5.5=36.5</t>
        </is>
      </c>
      <c r="F20" s="35" t="n"/>
      <c r="G20" s="77" t="n"/>
      <c r="H20" s="44" t="n"/>
    </row>
    <row r="21" ht="20.25" customHeight="1">
      <c r="A21" s="64" t="inlineStr">
        <is>
          <t>初回投資額（=初回チケット）</t>
        </is>
      </c>
      <c r="B21" s="65">
        <f>B12</f>
        <v/>
      </c>
      <c r="C21" s="57" t="inlineStr">
        <is>
          <t>億円</t>
        </is>
      </c>
      <c r="D21" s="57" t="n"/>
      <c r="E21" s="95" t="inlineStr">
        <is>
          <t>前提!B12を参照</t>
        </is>
      </c>
      <c r="F21" s="35" t="n"/>
      <c r="G21" s="77" t="n"/>
      <c r="H21" s="44" t="n"/>
    </row>
    <row r="22" ht="21.75" customHeight="1">
      <c r="A22" s="64" t="inlineStr">
        <is>
          <t>EV/Sales 倍率（Exit評価）</t>
        </is>
      </c>
      <c r="B22" s="99" t="n">
        <v>17</v>
      </c>
      <c r="C22" s="57" t="inlineStr">
        <is>
          <t>倍</t>
        </is>
      </c>
      <c r="D22" s="98" t="inlineStr">
        <is>
          <t>仮</t>
        </is>
      </c>
      <c r="E22" s="95" t="inlineStr">
        <is>
          <t>comps採用群中央値10倍を起点にソフト比率・粗利・主権プレミアムで上位寄せ→17倍。Palantir現況60.7倍はバブル除外。感度12〜20</t>
        </is>
      </c>
      <c r="F22" s="35" t="n"/>
      <c r="G22" s="77" t="n"/>
      <c r="H22" s="44" t="n"/>
    </row>
    <row r="23" ht="21.75" customHeight="1">
      <c r="A23" s="64" t="inlineStr">
        <is>
          <t>Exit持分（希薄化後）</t>
        </is>
      </c>
      <c r="B23" s="97" t="n">
        <v>0.12</v>
      </c>
      <c r="C23" s="57" t="n"/>
      <c r="D23" s="98" t="inlineStr">
        <is>
          <t>仮</t>
        </is>
      </c>
      <c r="E23" s="95" t="inlineStr">
        <is>
          <t>10〜12%。希薄化後の想定</t>
        </is>
      </c>
      <c r="F23" s="35" t="n"/>
      <c r="G23" s="77" t="n"/>
      <c r="H23" s="44" t="n"/>
    </row>
    <row r="24" ht="21.75" customHeight="1">
      <c r="A24" s="64" t="inlineStr">
        <is>
          <t>Exit年</t>
        </is>
      </c>
      <c r="B24" s="101" t="n">
        <v>2032</v>
      </c>
      <c r="C24" s="57" t="inlineStr">
        <is>
          <t>年</t>
        </is>
      </c>
      <c r="D24" s="98" t="inlineStr">
        <is>
          <t>仮</t>
        </is>
      </c>
      <c r="E24" s="95" t="inlineStr">
        <is>
          <t>2032年Exit想定</t>
        </is>
      </c>
      <c r="F24" s="35" t="n"/>
      <c r="G24" s="77" t="n"/>
      <c r="H24" s="44" t="n"/>
    </row>
    <row r="25" ht="33" customHeight="1">
      <c r="A25" s="64" t="inlineStr">
        <is>
          <t>売上CAGR（2031以降延伸）</t>
        </is>
      </c>
      <c r="B25" s="97" t="n">
        <v>0.09</v>
      </c>
      <c r="C25" s="57" t="n"/>
      <c r="D25" s="98" t="inlineStr">
        <is>
          <t>仮</t>
        </is>
      </c>
      <c r="E25" s="95" t="inlineStr">
        <is>
          <t>2030売上85億を延伸→2032≒100億（Exit評価1,500-1,800億に整合）。高成長想定なら引上げ</t>
        </is>
      </c>
      <c r="F25" s="35" t="n"/>
      <c r="G25" s="77" t="n"/>
      <c r="H25" s="44" t="n"/>
    </row>
    <row r="26" ht="22.5" customHeight="1">
      <c r="A26" s="64" t="inlineStr">
        <is>
          <t>セカンダリ割引率</t>
        </is>
      </c>
      <c r="B26" s="97" t="n">
        <v>0.3</v>
      </c>
      <c r="C26" s="57" t="n"/>
      <c r="D26" s="98" t="inlineStr">
        <is>
          <t>仮</t>
        </is>
      </c>
      <c r="E26" s="95" t="inlineStr">
        <is>
          <t>セカンダリExit時の割引</t>
        </is>
      </c>
      <c r="F26" s="35" t="n"/>
      <c r="G26" s="77" t="n"/>
      <c r="H26" s="44" t="n"/>
    </row>
    <row r="27" ht="17.25" customHeight="1">
      <c r="A27" s="44" t="n"/>
      <c r="B27" s="35" t="n"/>
      <c r="C27" s="35" t="n"/>
      <c r="D27" s="35" t="n"/>
      <c r="E27" s="35" t="n"/>
      <c r="F27" s="35" t="n"/>
      <c r="G27" s="77" t="n"/>
      <c r="H27" s="44" t="n"/>
    </row>
    <row r="28" ht="38.25" customHeight="1">
      <c r="A28" s="75" t="inlineStr">
        <is>
          <t>■ 売上前提（億円, 編集可能。PLが参照）</t>
        </is>
      </c>
      <c r="B28" s="93" t="n"/>
      <c r="C28" s="93" t="n"/>
      <c r="D28" s="93" t="n"/>
      <c r="E28" s="93" t="n"/>
      <c r="F28" s="35" t="n"/>
      <c r="G28" s="77" t="n"/>
      <c r="H28" s="44" t="n"/>
    </row>
    <row r="29" ht="17.25" customFormat="1" customHeight="1" s="50">
      <c r="A29" s="63" t="inlineStr">
        <is>
          <t>年度</t>
        </is>
      </c>
      <c r="B29" s="88" t="n">
        <v>2026</v>
      </c>
      <c r="C29" s="88" t="n">
        <v>2027</v>
      </c>
      <c r="D29" s="88" t="n">
        <v>2028</v>
      </c>
      <c r="E29" s="88" t="n">
        <v>2029</v>
      </c>
      <c r="F29" s="88" t="n">
        <v>2030</v>
      </c>
      <c r="G29" s="44" t="n"/>
      <c r="H29" s="44" t="n"/>
    </row>
    <row r="30" ht="17.25" customHeight="1">
      <c r="A30" s="102" t="inlineStr">
        <is>
          <t>売上（仮）</t>
        </is>
      </c>
      <c r="B30" s="94" t="n">
        <v>4</v>
      </c>
      <c r="C30" s="94" t="n">
        <v>10</v>
      </c>
      <c r="D30" s="94" t="n">
        <v>22</v>
      </c>
      <c r="E30" s="94" t="n">
        <v>45</v>
      </c>
      <c r="F30" s="94" t="n">
        <v>85</v>
      </c>
      <c r="G30" s="77" t="n"/>
      <c r="H30" s="78" t="inlineStr">
        <is>
          <t>← 2026-2030は入力。2031/2032はPLでCAGR延伸</t>
        </is>
      </c>
    </row>
    <row r="31" ht="17.25" customHeight="1">
      <c r="A31" s="102" t="inlineStr">
        <is>
          <t>GM%（仮, 逓増）</t>
        </is>
      </c>
      <c r="B31" s="97" t="n">
        <v>0.6</v>
      </c>
      <c r="C31" s="97" t="n">
        <v>0.63</v>
      </c>
      <c r="D31" s="97" t="n">
        <v>0.66</v>
      </c>
      <c r="E31" s="97" t="n">
        <v>0.6899999999999999</v>
      </c>
      <c r="F31" s="97" t="n">
        <v>0.72</v>
      </c>
      <c r="G31" s="77" t="n"/>
      <c r="H31" s="78" t="inlineStr">
        <is>
          <t>← 60%→72% 年次逓増（入力）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I11"/>
  <sheetViews>
    <sheetView tabSelected="1" workbookViewId="0">
      <pane xSplit="0" ySplit="3" topLeftCell="A4" activePane="bottomLeft" state="frozen"/>
      <selection activeCell="A1" sqref="A1"/>
    </sheetView>
  </sheetViews>
  <sheetFormatPr baseColWidth="8" defaultRowHeight="15"/>
  <cols>
    <col width="26.005" bestFit="1" customWidth="1" style="79" min="1" max="1"/>
    <col width="12.005" bestFit="1" customWidth="1" style="37" min="2" max="2"/>
    <col width="12.005" bestFit="1" customWidth="1" style="37" min="3" max="3"/>
    <col width="12.005" bestFit="1" customWidth="1" style="37" min="4" max="4"/>
    <col width="12.005" bestFit="1" customWidth="1" style="37" min="5" max="5"/>
    <col width="12.005" bestFit="1" customWidth="1" style="37" min="6" max="6"/>
    <col width="12.005" bestFit="1" customWidth="1" style="37" min="7" max="7"/>
    <col width="12.005" bestFit="1" customWidth="1" style="37" min="8" max="8"/>
    <col width="12.43357142857143" bestFit="1" customWidth="1" style="77" min="9" max="9"/>
  </cols>
  <sheetData>
    <row r="1" ht="26" customHeight="1">
      <c r="A1" s="62" t="inlineStr">
        <is>
          <t>PL（損益, 億円）2026〜2032 ― 売上は前提参照、2031/2032はCAGR延伸（数式）</t>
        </is>
      </c>
      <c r="B1" s="104" t="n"/>
      <c r="C1" s="104" t="n"/>
      <c r="D1" s="104" t="n"/>
      <c r="E1" s="104" t="n"/>
      <c r="F1" s="104" t="n"/>
      <c r="G1" s="104" t="n"/>
      <c r="H1" s="104" t="n"/>
      <c r="I1" s="105" t="n"/>
    </row>
    <row r="2" ht="17.25" customHeight="1">
      <c r="A2" s="44" t="n"/>
      <c r="B2" s="87" t="n"/>
      <c r="C2" s="87" t="n"/>
      <c r="D2" s="87" t="n"/>
      <c r="E2" s="87" t="n"/>
      <c r="F2" s="87" t="n"/>
      <c r="G2" s="87" t="n"/>
      <c r="H2" s="87" t="n"/>
      <c r="I2" s="77" t="n"/>
    </row>
    <row r="3" ht="17.25" customFormat="1" customHeight="1" s="50">
      <c r="A3" s="63" t="inlineStr">
        <is>
          <t>項目（億円）</t>
        </is>
      </c>
      <c r="B3" s="88" t="n">
        <v>2026</v>
      </c>
      <c r="C3" s="88" t="n">
        <v>2027</v>
      </c>
      <c r="D3" s="88" t="n">
        <v>2028</v>
      </c>
      <c r="E3" s="88" t="n">
        <v>2029</v>
      </c>
      <c r="F3" s="88" t="n">
        <v>2030</v>
      </c>
      <c r="G3" s="88" t="n">
        <v>2031</v>
      </c>
      <c r="H3" s="88" t="n">
        <v>2032</v>
      </c>
      <c r="I3" s="44" t="n"/>
    </row>
    <row r="4" ht="23.25" customHeight="1">
      <c r="A4" s="64" t="inlineStr">
        <is>
          <t>売上高</t>
        </is>
      </c>
      <c r="B4" s="65">
        <f>前提!$B$30</f>
        <v/>
      </c>
      <c r="C4" s="65">
        <f>前提!$C$30</f>
        <v/>
      </c>
      <c r="D4" s="65">
        <f>前提!$D$30</f>
        <v/>
      </c>
      <c r="E4" s="65">
        <f>前提!$E$30</f>
        <v/>
      </c>
      <c r="F4" s="65">
        <f>前提!$F$30</f>
        <v/>
      </c>
      <c r="G4" s="65">
        <f>F4*(1+前提!$B$25)</f>
        <v/>
      </c>
      <c r="H4" s="65">
        <f>G4*(1+前提!$B$25)</f>
        <v/>
      </c>
      <c r="I4" s="77" t="n"/>
    </row>
    <row r="5" ht="19.5" customHeight="1">
      <c r="A5" s="69" t="inlineStr">
        <is>
          <t>前年比成長率</t>
        </is>
      </c>
      <c r="B5" s="89" t="inlineStr">
        <is>
          <t>―</t>
        </is>
      </c>
      <c r="C5" s="90">
        <f>C4/B4-1</f>
        <v/>
      </c>
      <c r="D5" s="90">
        <f>D4/C4-1</f>
        <v/>
      </c>
      <c r="E5" s="90">
        <f>E4/D4-1</f>
        <v/>
      </c>
      <c r="F5" s="90">
        <f>F4/E4-1</f>
        <v/>
      </c>
      <c r="G5" s="90">
        <f>G4/F4-1</f>
        <v/>
      </c>
      <c r="H5" s="90">
        <f>H4/G4-1</f>
        <v/>
      </c>
      <c r="I5" s="77" t="n"/>
    </row>
    <row r="6" ht="23.25" customHeight="1">
      <c r="A6" s="64" t="inlineStr">
        <is>
          <t>粗利率 GM%</t>
        </is>
      </c>
      <c r="B6" s="68">
        <f>前提!$B$31</f>
        <v/>
      </c>
      <c r="C6" s="68">
        <f>前提!$C$31</f>
        <v/>
      </c>
      <c r="D6" s="68">
        <f>前提!$D$31</f>
        <v/>
      </c>
      <c r="E6" s="68">
        <f>前提!$E$31</f>
        <v/>
      </c>
      <c r="F6" s="68">
        <f>前提!$F$31</f>
        <v/>
      </c>
      <c r="G6" s="68">
        <f>前提!$F$31</f>
        <v/>
      </c>
      <c r="H6" s="68">
        <f>前提!$F$31</f>
        <v/>
      </c>
      <c r="I6" s="77" t="n"/>
    </row>
    <row r="7" ht="23.25" customHeight="1">
      <c r="A7" s="64" t="inlineStr">
        <is>
          <t>粗利</t>
        </is>
      </c>
      <c r="B7" s="65">
        <f>B4*B6</f>
        <v/>
      </c>
      <c r="C7" s="65">
        <f>C4*C6</f>
        <v/>
      </c>
      <c r="D7" s="65">
        <f>D4*D6</f>
        <v/>
      </c>
      <c r="E7" s="65">
        <f>E4*E6</f>
        <v/>
      </c>
      <c r="F7" s="65">
        <f>F4*F6</f>
        <v/>
      </c>
      <c r="G7" s="65">
        <f>G4*G6</f>
        <v/>
      </c>
      <c r="H7" s="65">
        <f>H4*H6</f>
        <v/>
      </c>
      <c r="I7" s="77" t="n"/>
    </row>
    <row r="8" ht="40.5" customHeight="1">
      <c r="A8" s="64" t="inlineStr">
        <is>
          <t>営業費用(簡易=売上×40%)</t>
        </is>
      </c>
      <c r="B8" s="91">
        <f>B4*0.40</f>
        <v/>
      </c>
      <c r="C8" s="91">
        <f>C4*0.40</f>
        <v/>
      </c>
      <c r="D8" s="91">
        <f>D4*0.40</f>
        <v/>
      </c>
      <c r="E8" s="91">
        <f>E4*0.40</f>
        <v/>
      </c>
      <c r="F8" s="91">
        <f>F4*0.40</f>
        <v/>
      </c>
      <c r="G8" s="91">
        <f>G4*0.40</f>
        <v/>
      </c>
      <c r="H8" s="91">
        <f>H4*0.40</f>
        <v/>
      </c>
      <c r="I8" s="77" t="n"/>
    </row>
    <row r="9" ht="24" customHeight="1">
      <c r="A9" s="64" t="inlineStr">
        <is>
          <t>営業損益</t>
        </is>
      </c>
      <c r="B9" s="65">
        <f>B7-B8</f>
        <v/>
      </c>
      <c r="C9" s="65">
        <f>C7-C8</f>
        <v/>
      </c>
      <c r="D9" s="65">
        <f>D7-D8</f>
        <v/>
      </c>
      <c r="E9" s="65">
        <f>E7-E8</f>
        <v/>
      </c>
      <c r="F9" s="65">
        <f>F7-F8</f>
        <v/>
      </c>
      <c r="G9" s="65">
        <f>G7-G8</f>
        <v/>
      </c>
      <c r="H9" s="65">
        <f>H7-H8</f>
        <v/>
      </c>
      <c r="I9" s="77" t="n"/>
    </row>
    <row r="10" ht="17.25" customHeight="1">
      <c r="A10" s="44" t="n"/>
      <c r="B10" s="87" t="n"/>
      <c r="C10" s="87" t="n"/>
      <c r="D10" s="87" t="n"/>
      <c r="E10" s="87" t="n"/>
      <c r="F10" s="87" t="n"/>
      <c r="G10" s="87" t="n"/>
      <c r="H10" s="87" t="n"/>
      <c r="I10" s="77" t="n"/>
    </row>
    <row r="11" ht="19.5" customFormat="1" customHeight="1" s="50">
      <c r="A11" s="78" t="inlineStr">
        <is>
          <t>注：2031/2032売上＝前年×(1+前提CAGR)。GM%は2030水準を維持（保守）。OPEXは簡易係数。</t>
        </is>
      </c>
    </row>
  </sheetData>
  <mergeCells count="2">
    <mergeCell ref="A1:I1"/>
    <mergeCell ref="A11:I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2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30.005" bestFit="1" customWidth="1" style="79" min="1" max="1"/>
    <col width="16.005" bestFit="1" customWidth="1" style="83" min="2" max="2"/>
    <col width="16.005" bestFit="1" customWidth="1" style="84" min="3" max="3"/>
    <col width="16.005" bestFit="1" customWidth="1" style="85" min="4" max="4"/>
    <col width="16.005" bestFit="1" customWidth="1" style="77" min="5" max="5"/>
  </cols>
  <sheetData>
    <row r="1" ht="26" customHeight="1">
      <c r="A1" s="62" t="inlineStr">
        <is>
          <t>Exit（企業価値 = Exit売上 × EV/Sales）― IPO/M&amp;A=企業価値、セカンダリ=×(1−割引率)</t>
        </is>
      </c>
      <c r="B1" s="104" t="n"/>
      <c r="C1" s="104" t="n"/>
      <c r="D1" s="104" t="n"/>
      <c r="E1" s="105" t="n"/>
    </row>
    <row r="2" ht="17.25" customHeight="1">
      <c r="A2" s="44" t="n"/>
      <c r="B2" s="80" t="n"/>
      <c r="C2" s="81" t="n"/>
      <c r="D2" s="43" t="n"/>
      <c r="E2" s="77" t="n"/>
    </row>
    <row r="3" ht="17.25" customFormat="1" customHeight="1" s="50">
      <c r="A3" s="63" t="inlineStr">
        <is>
          <t>項目</t>
        </is>
      </c>
      <c r="B3" s="63" t="inlineStr">
        <is>
          <t>値</t>
        </is>
      </c>
      <c r="C3" s="63" t="inlineStr">
        <is>
          <t>単位</t>
        </is>
      </c>
      <c r="D3" s="63" t="inlineStr">
        <is>
          <t>参照/数式の意味</t>
        </is>
      </c>
      <c r="E3" s="44" t="n"/>
    </row>
    <row r="4" ht="17.25" customHeight="1">
      <c r="A4" s="64" t="inlineStr">
        <is>
          <t>Exit年</t>
        </is>
      </c>
      <c r="B4" s="82">
        <f>前提!$B$24</f>
        <v/>
      </c>
      <c r="C4" s="66" t="inlineStr">
        <is>
          <t>年</t>
        </is>
      </c>
      <c r="D4" s="69" t="inlineStr">
        <is>
          <t>前提!Exit年</t>
        </is>
      </c>
      <c r="E4" s="77" t="n"/>
    </row>
    <row r="5" ht="17.25" customHeight="1">
      <c r="A5" s="64" t="inlineStr">
        <is>
          <t>Exit時 売上</t>
        </is>
      </c>
      <c r="B5" s="65">
        <f>PL!H4</f>
        <v/>
      </c>
      <c r="C5" s="66" t="inlineStr">
        <is>
          <t>億円</t>
        </is>
      </c>
      <c r="D5" s="69" t="inlineStr">
        <is>
          <t>PL!2032売上（CAGR延伸）</t>
        </is>
      </c>
      <c r="E5" s="77" t="n"/>
    </row>
    <row r="6" ht="17.25" customHeight="1">
      <c r="A6" s="64" t="inlineStr">
        <is>
          <t>EV/Sales 倍率</t>
        </is>
      </c>
      <c r="B6" s="65">
        <f>前提!$B$22</f>
        <v/>
      </c>
      <c r="C6" s="66" t="inlineStr">
        <is>
          <t>倍</t>
        </is>
      </c>
      <c r="D6" s="69" t="inlineStr">
        <is>
          <t>前提!EV/Sales</t>
        </is>
      </c>
      <c r="E6" s="77" t="n"/>
    </row>
    <row r="7" ht="17.25" customHeight="1">
      <c r="A7" s="64" t="inlineStr">
        <is>
          <t>Exit企業価値（基準）</t>
        </is>
      </c>
      <c r="B7" s="65">
        <f>B5*B6</f>
        <v/>
      </c>
      <c r="C7" s="66" t="inlineStr">
        <is>
          <t>億円</t>
        </is>
      </c>
      <c r="D7" s="69" t="inlineStr">
        <is>
          <t>Exit売上×EV/Sales</t>
        </is>
      </c>
      <c r="E7" s="77" t="n"/>
    </row>
    <row r="8" ht="17.25" customHeight="1">
      <c r="A8" s="44" t="n"/>
      <c r="B8" s="80" t="n"/>
      <c r="C8" s="81" t="n"/>
      <c r="D8" s="43" t="n"/>
      <c r="E8" s="77" t="n"/>
    </row>
    <row r="9" ht="17.25" customHeight="1">
      <c r="A9" s="75" t="inlineStr">
        <is>
          <t>■ Exit経路別 企業価値</t>
        </is>
      </c>
      <c r="B9" s="76" t="n"/>
      <c r="C9" s="76" t="n"/>
      <c r="D9" s="76" t="n"/>
      <c r="E9" s="77" t="n"/>
    </row>
    <row r="10" ht="17.25" customHeight="1">
      <c r="A10" s="64" t="inlineStr">
        <is>
          <t>① IPO（東証グロース）</t>
        </is>
      </c>
      <c r="B10" s="65">
        <f>B7</f>
        <v/>
      </c>
      <c r="C10" s="66" t="inlineStr">
        <is>
          <t>億円</t>
        </is>
      </c>
      <c r="D10" s="69" t="inlineStr">
        <is>
          <t>企業価値そのまま</t>
        </is>
      </c>
      <c r="E10" s="77" t="n"/>
    </row>
    <row r="11" ht="17.25" customHeight="1">
      <c r="A11" s="64" t="inlineStr">
        <is>
          <t>② M&amp;A（重工/商社プライム）</t>
        </is>
      </c>
      <c r="B11" s="65">
        <f>B7</f>
        <v/>
      </c>
      <c r="C11" s="66" t="inlineStr">
        <is>
          <t>億円</t>
        </is>
      </c>
      <c r="D11" s="69" t="inlineStr">
        <is>
          <t>企業価値そのまま</t>
        </is>
      </c>
      <c r="E11" s="77" t="n"/>
    </row>
    <row r="12" ht="17.25" customHeight="1">
      <c r="A12" s="64" t="inlineStr">
        <is>
          <t>③ セカンダリ</t>
        </is>
      </c>
      <c r="B12" s="65">
        <f>B7*(1-前提!$B$26)</f>
        <v/>
      </c>
      <c r="C12" s="66" t="inlineStr">
        <is>
          <t>億円</t>
        </is>
      </c>
      <c r="D12" s="69" t="inlineStr">
        <is>
          <t>企業価値×(1−割引率)</t>
        </is>
      </c>
      <c r="E12" s="77" t="n"/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23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32.005" bestFit="1" customWidth="1" style="79" min="1" max="1"/>
    <col width="18.005" bestFit="1" customWidth="1" style="38" min="2" max="2"/>
    <col width="18.005" bestFit="1" customWidth="1" style="38" min="3" max="3"/>
    <col width="18.005" bestFit="1" customWidth="1" style="38" min="4" max="4"/>
    <col width="18.005" bestFit="1" customWidth="1" style="77" min="5" max="5"/>
  </cols>
  <sheetData>
    <row r="1" ht="26" customHeight="1">
      <c r="A1" s="62" t="inlineStr">
        <is>
          <t>リターン ― エントリー持分/希薄化/Exit持分/MOIC/ポジション/ファンド倍率/ファンドリターナー判定</t>
        </is>
      </c>
      <c r="B1" s="104" t="n"/>
      <c r="C1" s="104" t="n"/>
      <c r="D1" s="104" t="n"/>
      <c r="E1" s="105" t="n"/>
    </row>
    <row r="2" ht="17.25" customFormat="1" customHeight="1" s="50">
      <c r="A2" s="44" t="n"/>
      <c r="B2" s="77" t="n"/>
      <c r="C2" s="77" t="n"/>
      <c r="D2" s="77" t="n"/>
      <c r="E2" s="77" t="n"/>
    </row>
    <row r="3" ht="17.25" customFormat="1" customHeight="1" s="50">
      <c r="A3" s="63" t="inlineStr">
        <is>
          <t>項目</t>
        </is>
      </c>
      <c r="B3" s="63" t="inlineStr">
        <is>
          <t>値</t>
        </is>
      </c>
      <c r="C3" s="63" t="inlineStr">
        <is>
          <t>単位</t>
        </is>
      </c>
      <c r="D3" s="63" t="inlineStr">
        <is>
          <t>数式の意味</t>
        </is>
      </c>
      <c r="E3" s="44" t="n"/>
    </row>
    <row r="4" ht="17.25" customHeight="1">
      <c r="A4" s="64" t="inlineStr">
        <is>
          <t>初回投資額</t>
        </is>
      </c>
      <c r="B4" s="65">
        <f>前提!$B$21</f>
        <v/>
      </c>
      <c r="C4" s="66" t="inlineStr">
        <is>
          <t>億円</t>
        </is>
      </c>
      <c r="D4" s="69" t="inlineStr">
        <is>
          <t>前提!初回投資</t>
        </is>
      </c>
      <c r="E4" s="77" t="n"/>
    </row>
    <row r="5" ht="17.25" customHeight="1">
      <c r="A5" s="64" t="inlineStr">
        <is>
          <t>投資時点 Pre-Val（投資前）</t>
        </is>
      </c>
      <c r="B5" s="65">
        <f>前提!$B$20</f>
        <v/>
      </c>
      <c r="C5" s="66" t="inlineStr">
        <is>
          <t>億円</t>
        </is>
      </c>
      <c r="D5" s="69" t="inlineStr">
        <is>
          <t>前提!Post-Val</t>
        </is>
      </c>
      <c r="E5" s="77" t="n"/>
    </row>
    <row r="6" ht="17.25" customHeight="1">
      <c r="A6" s="64" t="inlineStr">
        <is>
          <t>エントリー持分（数式）</t>
        </is>
      </c>
      <c r="B6" s="68">
        <f>前提!$B$21/(前提!$B$20+前提!$B$21)</f>
        <v/>
      </c>
      <c r="C6" s="66" t="n"/>
      <c r="D6" s="69" t="inlineStr">
        <is>
          <t>初回投資/(Post-Val+初回投資)</t>
        </is>
      </c>
      <c r="E6" s="77" t="n"/>
    </row>
    <row r="7" ht="17.25" customHeight="1">
      <c r="A7" s="64" t="inlineStr">
        <is>
          <t>目標エントリー持分（テーゼ）</t>
        </is>
      </c>
      <c r="B7" s="68">
        <f>前提!$B$17</f>
        <v/>
      </c>
      <c r="C7" s="66" t="n"/>
      <c r="D7" s="69" t="inlineStr">
        <is>
          <t>前提!目標15%</t>
        </is>
      </c>
      <c r="E7" s="77" t="n"/>
    </row>
    <row r="8" ht="17.25" customHeight="1">
      <c r="A8" s="64" t="inlineStr">
        <is>
          <t>エントリー持分 vs 目標 差</t>
        </is>
      </c>
      <c r="B8" s="70">
        <f>B6-B7</f>
        <v/>
      </c>
      <c r="C8" s="66" t="n"/>
      <c r="D8" s="69" t="inlineStr">
        <is>
          <t>実−目標（注記用）</t>
        </is>
      </c>
      <c r="E8" s="77" t="n"/>
    </row>
    <row r="9" ht="17.25" customHeight="1">
      <c r="A9" s="64" t="inlineStr">
        <is>
          <t>Exit持分（希薄化後）</t>
        </is>
      </c>
      <c r="B9" s="68">
        <f>前提!$B$23</f>
        <v/>
      </c>
      <c r="C9" s="66" t="n"/>
      <c r="D9" s="69" t="inlineStr">
        <is>
          <t>前提!Exit持分</t>
        </is>
      </c>
      <c r="E9" s="77" t="n"/>
    </row>
    <row r="10" ht="17.25" customHeight="1">
      <c r="A10" s="64" t="inlineStr">
        <is>
          <t>希薄化（エントリー→Exit）</t>
        </is>
      </c>
      <c r="B10" s="70">
        <f>B6-B9</f>
        <v/>
      </c>
      <c r="C10" s="66" t="n"/>
      <c r="D10" s="69" t="inlineStr">
        <is>
          <t>エントリー持分−Exit持分</t>
        </is>
      </c>
      <c r="E10" s="77" t="n"/>
    </row>
    <row r="11" ht="17.25" customHeight="1">
      <c r="A11" s="64" t="inlineStr">
        <is>
          <t>Exit企業価値（基準）</t>
        </is>
      </c>
      <c r="B11" s="65">
        <f>Exit!$B$7</f>
        <v/>
      </c>
      <c r="C11" s="66" t="inlineStr">
        <is>
          <t>億円</t>
        </is>
      </c>
      <c r="D11" s="69" t="inlineStr">
        <is>
          <t>Exit!基準企業価値</t>
        </is>
      </c>
      <c r="E11" s="77" t="n"/>
    </row>
    <row r="12" ht="17.25" customHeight="1">
      <c r="A12" s="64" t="inlineStr">
        <is>
          <t>ポジション回収額</t>
        </is>
      </c>
      <c r="B12" s="65">
        <f>Exit!$B$7*前提!$B$23</f>
        <v/>
      </c>
      <c r="C12" s="66" t="inlineStr">
        <is>
          <t>億円</t>
        </is>
      </c>
      <c r="D12" s="69" t="inlineStr">
        <is>
          <t>Exit企業価値×Exit持分</t>
        </is>
      </c>
      <c r="E12" s="77" t="n"/>
    </row>
    <row r="13" ht="17.25" customHeight="1">
      <c r="A13" s="64" t="inlineStr">
        <is>
          <t>MOIC（対初回チケット5.5億・参考）</t>
        </is>
      </c>
      <c r="B13" s="71">
        <f>B12/B4</f>
        <v/>
      </c>
      <c r="C13" s="66" t="inlineStr">
        <is>
          <t>X</t>
        </is>
      </c>
      <c r="D13" s="69" t="inlineStr">
        <is>
          <t>ポジション/初回投資</t>
        </is>
      </c>
      <c r="E13" s="77" t="n"/>
    </row>
    <row r="14" ht="17.25" customHeight="1">
      <c r="A14" s="64" t="inlineStr">
        <is>
          <t>ファンド倍率（対総額）</t>
        </is>
      </c>
      <c r="B14" s="71">
        <f>B12/前提!$B$5</f>
        <v/>
      </c>
      <c r="C14" s="66" t="inlineStr">
        <is>
          <t>X</t>
        </is>
      </c>
      <c r="D14" s="69" t="inlineStr">
        <is>
          <t>ポジション/ファンド総額</t>
        </is>
      </c>
      <c r="E14" s="77" t="n"/>
    </row>
    <row r="15" ht="17.25" customHeight="1">
      <c r="A15" s="64" t="inlineStr">
        <is>
          <t>ファンドリターナー閾値</t>
        </is>
      </c>
      <c r="B15" s="65">
        <f>前提!$B$10</f>
        <v/>
      </c>
      <c r="C15" s="66" t="inlineStr">
        <is>
          <t>億円</t>
        </is>
      </c>
      <c r="D15" s="69" t="inlineStr">
        <is>
          <t>前提!閾値150億</t>
        </is>
      </c>
      <c r="E15" s="77" t="n"/>
    </row>
    <row r="16" ht="17.25" customFormat="1" customHeight="1" s="50">
      <c r="A16" s="72" t="inlineStr">
        <is>
          <t>ファンドリターナー判定</t>
        </is>
      </c>
      <c r="B16" s="73">
        <f>IF(B12&gt;=前提!$B$10,"○ ファンドリターナー成立","× 不成立")</f>
        <v/>
      </c>
      <c r="C16" s="66" t="inlineStr">
        <is>
          <t>判定</t>
        </is>
      </c>
      <c r="D16" s="69" t="inlineStr">
        <is>
          <t>IF(ポジション&gt;=閾値150,○,×)</t>
        </is>
      </c>
      <c r="E16" s="44" t="n"/>
    </row>
    <row r="17" ht="17.25" customHeight="1">
      <c r="A17" s="44" t="inlineStr">
        <is>
          <t>MOIC（対総コミット16.5億）</t>
        </is>
      </c>
      <c r="B17" s="74">
        <f>B12/前提!$B$18</f>
        <v/>
      </c>
      <c r="C17" s="38" t="inlineStr">
        <is>
          <t>X</t>
        </is>
      </c>
      <c r="D17" s="38" t="n"/>
      <c r="E17" s="77" t="n"/>
    </row>
    <row r="18" ht="17.25" customHeight="1">
      <c r="A18" s="75" t="inlineStr">
        <is>
          <t>■ 必要Exit企業価値（閾値150億 到達に必要）</t>
        </is>
      </c>
      <c r="B18" s="76" t="n"/>
      <c r="C18" s="76" t="n"/>
      <c r="D18" s="76" t="n"/>
      <c r="E18" s="77" t="n"/>
    </row>
    <row r="19" ht="17.25" customHeight="1">
      <c r="A19" s="64" t="inlineStr">
        <is>
          <t>持分10%で必要なExit企業価値</t>
        </is>
      </c>
      <c r="B19" s="65">
        <f>前提!$B$10/0.10</f>
        <v/>
      </c>
      <c r="C19" s="66" t="inlineStr">
        <is>
          <t>億円</t>
        </is>
      </c>
      <c r="D19" s="69" t="inlineStr">
        <is>
          <t>150/10%</t>
        </is>
      </c>
      <c r="E19" s="77" t="n"/>
    </row>
    <row r="20" ht="17.25" customHeight="1">
      <c r="A20" s="64" t="inlineStr">
        <is>
          <t>持分11%で必要なExit企業価値</t>
        </is>
      </c>
      <c r="B20" s="65">
        <f>前提!$B$10/0.11</f>
        <v/>
      </c>
      <c r="C20" s="66" t="inlineStr">
        <is>
          <t>億円</t>
        </is>
      </c>
      <c r="D20" s="69" t="inlineStr">
        <is>
          <t>150/11%≒1,360億</t>
        </is>
      </c>
      <c r="E20" s="77" t="n"/>
    </row>
    <row r="21" ht="17.25" customHeight="1">
      <c r="A21" s="64" t="inlineStr">
        <is>
          <t>現Exit持分で必要なExit企業価値</t>
        </is>
      </c>
      <c r="B21" s="65">
        <f>前提!$B$10/前提!$B$23</f>
        <v/>
      </c>
      <c r="C21" s="66" t="inlineStr">
        <is>
          <t>億円</t>
        </is>
      </c>
      <c r="D21" s="69" t="inlineStr">
        <is>
          <t>150/Exit持分</t>
        </is>
      </c>
      <c r="E21" s="77" t="n"/>
    </row>
    <row r="22" ht="17.25" customFormat="1" customHeight="1" s="50">
      <c r="A22" s="44" t="inlineStr">
        <is>
          <t>投資後Post-Val（=Pre+初回投資）</t>
        </is>
      </c>
      <c r="B22" s="77">
        <f>前提!$B$20+前提!$B$21</f>
        <v/>
      </c>
      <c r="C22" s="77" t="inlineStr">
        <is>
          <t>億円</t>
        </is>
      </c>
      <c r="D22" s="77" t="n"/>
      <c r="E22" s="77" t="n"/>
    </row>
    <row r="23" ht="42" customFormat="1" customHeight="1" s="50">
      <c r="A23" s="78" t="inlineStr">
        <is>
          <t>注：エントリー持分=初回投資/(Pre-Val+初回投資)=初回投資/投資後Post-Val。基本=Pre31億+初回5.5億→投資後Post36.5億→5.5/36.5≒15.1%（単独リードでPreを30〜35億に交渉／教材「持分=チケット/Post」と整合）。下方=Pre40億据置なら5.5/45.5≒12.1%でも検算成立。Exit持分=希薄化後（前提B23=12%）。MOICは対初回37.5X(参考)と対総コミット12.5Xを併記。</t>
        </is>
      </c>
    </row>
  </sheetData>
  <mergeCells count="2">
    <mergeCell ref="A1:E1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H20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2.005" bestFit="1" customWidth="1" style="60" min="1" max="1"/>
    <col width="13.005" bestFit="1" customWidth="1" style="40" min="2" max="2"/>
    <col width="13.005" bestFit="1" customWidth="1" style="40" min="3" max="3"/>
    <col width="13.005" bestFit="1" customWidth="1" style="40" min="4" max="4"/>
    <col width="13.005" bestFit="1" customWidth="1" style="40" min="5" max="5"/>
    <col width="13.005" bestFit="1" customWidth="1" style="38" min="6" max="6"/>
    <col width="13.005" bestFit="1" customWidth="1" style="77" min="7" max="7"/>
    <col width="12.43357142857143" bestFit="1" customWidth="1" style="77" min="8" max="8"/>
  </cols>
  <sheetData>
    <row r="1" ht="26" customHeight="1">
      <c r="A1" s="41" t="inlineStr">
        <is>
          <t>感度分析 ― ポジション回収額(億円) = Exit売上 × EV/Sales × Exit持分。緑=150億超(ファンドリターナー成立域)</t>
        </is>
      </c>
      <c r="B1" s="104" t="n"/>
      <c r="C1" s="104" t="n"/>
      <c r="D1" s="104" t="n"/>
      <c r="E1" s="104" t="n"/>
      <c r="F1" s="104" t="n"/>
      <c r="G1" s="104" t="n"/>
      <c r="H1" s="105" t="n"/>
    </row>
    <row r="2" ht="17.25" customHeight="1">
      <c r="A2" s="45" t="n"/>
      <c r="B2" s="35" t="n"/>
      <c r="C2" s="35" t="n"/>
      <c r="D2" s="35" t="n"/>
      <c r="E2" s="35" t="n"/>
      <c r="F2" s="38" t="n"/>
      <c r="G2" s="77" t="n"/>
      <c r="H2" s="77" t="n"/>
    </row>
    <row r="3" ht="17.25" customHeight="1">
      <c r="A3" s="47" t="inlineStr">
        <is>
          <t>ポジション回収額(億円)</t>
        </is>
      </c>
      <c r="B3" s="106" t="n"/>
      <c r="C3" s="106" t="n"/>
      <c r="D3" s="106" t="n"/>
      <c r="E3" s="106" t="n"/>
      <c r="F3" s="107" t="n"/>
      <c r="G3" s="77" t="n"/>
      <c r="H3" s="77" t="n"/>
    </row>
    <row r="4" ht="17.25" customFormat="1" customHeight="1" s="50">
      <c r="A4" s="51" t="inlineStr">
        <is>
          <t>EV/Sales ＼ Exit持分</t>
        </is>
      </c>
      <c r="B4" s="52" t="n">
        <v>0.08</v>
      </c>
      <c r="C4" s="52" t="n">
        <v>0.1</v>
      </c>
      <c r="D4" s="52" t="n">
        <v>0.11</v>
      </c>
      <c r="E4" s="52" t="n">
        <v>0.12</v>
      </c>
      <c r="F4" s="44" t="n"/>
      <c r="G4" s="44" t="n"/>
      <c r="H4" s="44" t="n"/>
    </row>
    <row r="5" ht="17.25" customHeight="1">
      <c r="A5" s="53" t="n">
        <v>12</v>
      </c>
      <c r="B5" s="54">
        <f>Exit!$B$5*$A5*B$4</f>
        <v/>
      </c>
      <c r="C5" s="54">
        <f>Exit!$B$5*$A5*C$4</f>
        <v/>
      </c>
      <c r="D5" s="54">
        <f>Exit!$B$5*$A5*D$4</f>
        <v/>
      </c>
      <c r="E5" s="54">
        <f>Exit!$B$5*$A5*E$4</f>
        <v/>
      </c>
      <c r="F5" s="38" t="n"/>
      <c r="G5" s="77" t="n"/>
      <c r="H5" s="77" t="n"/>
    </row>
    <row r="6" ht="17.25" customHeight="1">
      <c r="A6" s="53" t="n">
        <v>15</v>
      </c>
      <c r="B6" s="54">
        <f>Exit!$B$5*$A6*B$4</f>
        <v/>
      </c>
      <c r="C6" s="54">
        <f>Exit!$B$5*$A6*C$4</f>
        <v/>
      </c>
      <c r="D6" s="54">
        <f>Exit!$B$5*$A6*D$4</f>
        <v/>
      </c>
      <c r="E6" s="54">
        <f>Exit!$B$5*$A6*E$4</f>
        <v/>
      </c>
      <c r="F6" s="38" t="n"/>
      <c r="G6" s="77" t="n"/>
      <c r="H6" s="77" t="n"/>
    </row>
    <row r="7" ht="17.25" customHeight="1">
      <c r="A7" s="53" t="n">
        <v>17</v>
      </c>
      <c r="B7" s="54">
        <f>Exit!$B$5*$A7*B$4</f>
        <v/>
      </c>
      <c r="C7" s="54">
        <f>Exit!$B$5*$A7*C$4</f>
        <v/>
      </c>
      <c r="D7" s="54">
        <f>Exit!$B$5*$A7*D$4</f>
        <v/>
      </c>
      <c r="E7" s="54">
        <f>Exit!$B$5*$A7*E$4</f>
        <v/>
      </c>
      <c r="F7" s="38" t="n"/>
      <c r="G7" s="77" t="n"/>
      <c r="H7" s="77" t="n"/>
    </row>
    <row r="8" ht="17.25" customHeight="1">
      <c r="A8" s="53" t="n">
        <v>18</v>
      </c>
      <c r="B8" s="54">
        <f>Exit!$B$5*$A8*B$4</f>
        <v/>
      </c>
      <c r="C8" s="54">
        <f>Exit!$B$5*$A8*C$4</f>
        <v/>
      </c>
      <c r="D8" s="54">
        <f>Exit!$B$5*$A8*D$4</f>
        <v/>
      </c>
      <c r="E8" s="54">
        <f>Exit!$B$5*$A8*E$4</f>
        <v/>
      </c>
      <c r="F8" s="38" t="n"/>
      <c r="G8" s="77" t="n"/>
      <c r="H8" s="77" t="n"/>
    </row>
    <row r="9" ht="17.25" customHeight="1">
      <c r="A9" s="53" t="n">
        <v>20</v>
      </c>
      <c r="B9" s="54">
        <f>Exit!$B$5*$A9*B$4</f>
        <v/>
      </c>
      <c r="C9" s="54">
        <f>Exit!$B$5*$A9*C$4</f>
        <v/>
      </c>
      <c r="D9" s="54">
        <f>Exit!$B$5*$A9*D$4</f>
        <v/>
      </c>
      <c r="E9" s="54">
        <f>Exit!$B$5*$A9*E$4</f>
        <v/>
      </c>
      <c r="F9" s="38" t="n"/>
      <c r="G9" s="77" t="n"/>
      <c r="H9" s="77" t="n"/>
    </row>
    <row r="10" ht="17.25" customHeight="1">
      <c r="A10" s="45" t="n"/>
      <c r="B10" s="35" t="n"/>
      <c r="C10" s="35" t="n"/>
      <c r="D10" s="35" t="n"/>
      <c r="E10" s="35" t="n"/>
      <c r="F10" s="38" t="n"/>
      <c r="G10" s="77" t="n"/>
      <c r="H10" s="77" t="n"/>
    </row>
    <row r="11" ht="17.25" customHeight="1">
      <c r="A11" s="45" t="n"/>
      <c r="B11" s="35" t="n"/>
      <c r="C11" s="35" t="n"/>
      <c r="D11" s="35" t="n"/>
      <c r="E11" s="35" t="n"/>
      <c r="F11" s="38" t="n"/>
      <c r="G11" s="77" t="n"/>
      <c r="H11" s="77" t="n"/>
    </row>
    <row r="12" ht="17.25" customHeight="1">
      <c r="A12" s="47" t="inlineStr">
        <is>
          <t>参考：Exit企業価値(億円) = Exit売上 × EV/Sales</t>
        </is>
      </c>
      <c r="B12" s="106" t="n"/>
      <c r="C12" s="106" t="n"/>
      <c r="D12" s="106" t="n"/>
      <c r="E12" s="106" t="n"/>
      <c r="F12" s="107" t="n"/>
      <c r="G12" s="77" t="n"/>
      <c r="H12" s="77" t="n"/>
    </row>
    <row r="13" ht="17.25" customFormat="1" customHeight="1" s="50">
      <c r="A13" s="51" t="inlineStr">
        <is>
          <t>EV/Sales</t>
        </is>
      </c>
      <c r="B13" s="52" t="inlineStr">
        <is>
          <t>Exit企業価値</t>
        </is>
      </c>
      <c r="C13" s="52" t="inlineStr">
        <is>
          <t>判定@現Exit持分</t>
        </is>
      </c>
      <c r="D13" s="55" t="n"/>
      <c r="E13" s="55" t="n"/>
      <c r="F13" s="44" t="n"/>
      <c r="G13" s="44" t="n"/>
      <c r="H13" s="44" t="n"/>
    </row>
    <row r="14" ht="17.25" customHeight="1">
      <c r="A14" s="56">
        <f>$A5</f>
        <v/>
      </c>
      <c r="B14" s="54">
        <f>Exit!$B$5*$A14</f>
        <v/>
      </c>
      <c r="C14" s="57">
        <f>IF(Exit!$B$5*$A14*前提!$B$23&gt;=前提!$B$10,"○","×")</f>
        <v/>
      </c>
      <c r="D14" s="35" t="n"/>
      <c r="E14" s="35" t="n"/>
      <c r="F14" s="38" t="n"/>
      <c r="G14" s="77" t="n"/>
      <c r="H14" s="77" t="n"/>
    </row>
    <row r="15" ht="17.25" customHeight="1">
      <c r="A15" s="56">
        <f>$A6</f>
        <v/>
      </c>
      <c r="B15" s="54">
        <f>Exit!$B$5*$A15</f>
        <v/>
      </c>
      <c r="C15" s="57">
        <f>IF(Exit!$B$5*$A15*前提!$B$23&gt;=前提!$B$10,"○","×")</f>
        <v/>
      </c>
      <c r="D15" s="35" t="n"/>
      <c r="E15" s="35" t="n"/>
      <c r="F15" s="38" t="n"/>
      <c r="G15" s="77" t="n"/>
      <c r="H15" s="77" t="n"/>
    </row>
    <row r="16" ht="17.25" customHeight="1">
      <c r="A16" s="56">
        <f>$A7</f>
        <v/>
      </c>
      <c r="B16" s="54">
        <f>Exit!$B$5*$A16</f>
        <v/>
      </c>
      <c r="C16" s="57">
        <f>IF(Exit!$B$5*$A16*前提!$B$23&gt;=前提!$B$10,"○","×")</f>
        <v/>
      </c>
      <c r="D16" s="35" t="n"/>
      <c r="E16" s="35" t="n"/>
      <c r="F16" s="38" t="n"/>
      <c r="G16" s="77" t="n"/>
      <c r="H16" s="77" t="n"/>
    </row>
    <row r="17" ht="17.25" customHeight="1">
      <c r="A17" s="56">
        <f>$A8</f>
        <v/>
      </c>
      <c r="B17" s="54">
        <f>Exit!$B$5*$A17</f>
        <v/>
      </c>
      <c r="C17" s="57">
        <f>IF(Exit!$B$5*$A17*前提!$B$23&gt;=前提!$B$10,"○","×")</f>
        <v/>
      </c>
      <c r="D17" s="35" t="n"/>
      <c r="E17" s="35" t="n"/>
      <c r="F17" s="38" t="n"/>
      <c r="G17" s="77" t="n"/>
      <c r="H17" s="77" t="n"/>
    </row>
    <row r="18" ht="17.25" customHeight="1">
      <c r="A18" s="56">
        <f>$A9</f>
        <v/>
      </c>
      <c r="B18" s="54">
        <f>Exit!$B$5*$A18</f>
        <v/>
      </c>
      <c r="C18" s="57">
        <f>IF(Exit!$B$5*$A18*前提!$B$23&gt;=前提!$B$10,"○","×")</f>
        <v/>
      </c>
      <c r="D18" s="35" t="n"/>
      <c r="E18" s="35" t="n"/>
      <c r="F18" s="38" t="n"/>
      <c r="G18" s="77" t="n"/>
      <c r="H18" s="77" t="n"/>
    </row>
    <row r="19" ht="17.25" customHeight="1">
      <c r="A19" s="45" t="n"/>
      <c r="B19" s="35" t="n"/>
      <c r="C19" s="35" t="n"/>
      <c r="D19" s="35" t="n"/>
      <c r="E19" s="35" t="n"/>
      <c r="F19" s="38" t="n"/>
      <c r="G19" s="77" t="n"/>
      <c r="H19" s="77" t="n"/>
    </row>
    <row r="20" ht="40" customFormat="1" customHeight="1" s="50">
      <c r="A20" s="58" t="inlineStr">
        <is>
          <t>読み方：各セル=ポジション回収額(=Exit売上×EV/Sales×Exit持分)。150億以上=緑=ファンドリターナー成立。Exit売上はExit!B5(=PL2032)に連動。EV/SalesはA列(黄)を変更すると表1・表2・判定が再計算。</t>
        </is>
      </c>
      <c r="H20" s="44" t="n"/>
    </row>
  </sheetData>
  <mergeCells count="4">
    <mergeCell ref="A3:F3"/>
    <mergeCell ref="A20:G20"/>
    <mergeCell ref="A12:F12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I31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4.005" bestFit="1" customWidth="1" style="37" min="1" max="1"/>
    <col width="18.005" bestFit="1" customWidth="1" style="38" min="2" max="2"/>
    <col width="20.005" bestFit="1" customWidth="1" style="38" min="3" max="3"/>
    <col width="12.005" bestFit="1" customWidth="1" style="39" min="4" max="4"/>
    <col width="9.005000000000001" bestFit="1" customWidth="1" style="39" min="5" max="5"/>
    <col width="11.005" bestFit="1" customWidth="1" style="38" min="6" max="6"/>
    <col width="10.005" bestFit="1" customWidth="1" style="40" min="7" max="7"/>
    <col width="30.005" bestFit="1" customWidth="1" style="38" min="8" max="8"/>
    <col width="12.43357142857143" bestFit="1" customWidth="1" style="38" min="9" max="9"/>
  </cols>
  <sheetData>
    <row r="1" ht="17.25" customHeight="1">
      <c r="A1" s="1" t="inlineStr">
        <is>
          <t>ポートフォリオ構築（べき乗則）― net DPI 3.0X はアウトライヤーの積み上げで作る</t>
        </is>
      </c>
      <c r="B1" s="38" t="n"/>
      <c r="C1" s="38" t="n"/>
      <c r="D1" s="39" t="n"/>
      <c r="E1" s="39" t="n"/>
      <c r="F1" s="38" t="n"/>
      <c r="G1" s="40" t="n"/>
      <c r="H1" s="38" t="n"/>
      <c r="I1" s="38" t="n"/>
    </row>
    <row r="2" ht="17.25" customHeight="1">
      <c r="A2" s="5" t="inlineStr">
        <is>
          <t>※ Solafune以外の9社は「分布の形」を示す例示（仮・要検証）。ただし勝ち馬B＝Humanity Brain（防衛装備庁採択の認知戦AI）は実在候補。黄=入力／回収=投下×MOIC。H列=候補領域・I列=倍率根拠（領域→MOICの橋）。Solafune回収はリターン!B12連動、投下は前提!B18連動。</t>
        </is>
      </c>
      <c r="B2" s="38" t="n"/>
      <c r="C2" s="38" t="n"/>
      <c r="D2" s="39" t="n"/>
      <c r="E2" s="39" t="n"/>
      <c r="F2" s="38" t="n"/>
      <c r="G2" s="40" t="n"/>
      <c r="H2" s="38" t="n"/>
      <c r="I2" s="38" t="n"/>
    </row>
    <row r="3" ht="17.25" customHeight="1">
      <c r="A3" s="37" t="n"/>
      <c r="B3" s="38" t="n"/>
      <c r="C3" s="38" t="n"/>
      <c r="D3" s="39" t="n"/>
      <c r="E3" s="39" t="n"/>
      <c r="F3" s="38" t="n"/>
      <c r="G3" s="40" t="n"/>
      <c r="H3" s="38" t="n"/>
      <c r="I3" s="38" t="n"/>
    </row>
    <row r="4" ht="17.25" customHeight="1">
      <c r="A4" s="7" t="inlineStr">
        <is>
          <t>#</t>
        </is>
      </c>
      <c r="B4" s="8" t="inlineStr">
        <is>
          <t>会社</t>
        </is>
      </c>
      <c r="C4" s="8" t="inlineStr">
        <is>
          <t>区分</t>
        </is>
      </c>
      <c r="D4" s="9" t="inlineStr">
        <is>
          <t>投下資本(億)</t>
        </is>
      </c>
      <c r="E4" s="9" t="inlineStr">
        <is>
          <t>MOIC(X)</t>
        </is>
      </c>
      <c r="F4" s="8" t="inlineStr">
        <is>
          <t>回収額(億)</t>
        </is>
      </c>
      <c r="G4" s="10" t="inlineStr">
        <is>
          <t>回収シェア</t>
        </is>
      </c>
      <c r="H4" s="11" t="inlineStr">
        <is>
          <t>想定候補領域（仮）</t>
        </is>
      </c>
      <c r="I4" s="38" t="inlineStr">
        <is>
          <t>倍率根拠（TAM/Exit comp）</t>
        </is>
      </c>
    </row>
    <row r="5" ht="17.25" customHeight="1">
      <c r="A5" s="12" t="n">
        <v>1</v>
      </c>
      <c r="B5" s="13" t="inlineStr">
        <is>
          <t>Solafune</t>
        </is>
      </c>
      <c r="C5" s="13" t="inlineStr">
        <is>
          <t>★ファンドリターナー</t>
        </is>
      </c>
      <c r="D5" s="14">
        <f>前提!$B$18</f>
        <v/>
      </c>
      <c r="E5" s="14">
        <f>F5/D5</f>
        <v/>
      </c>
      <c r="F5" s="14">
        <f>リターン!$B$12</f>
        <v/>
      </c>
      <c r="G5" s="15">
        <f>F5/$F$15</f>
        <v/>
      </c>
      <c r="H5" s="16" t="inlineStr">
        <is>
          <t>衛星×AI解析レイヤー（本命）</t>
        </is>
      </c>
      <c r="I5" s="38" t="inlineStr">
        <is>
          <t>EV/Sales17倍×Exit売上101億（§5統計導出）＝206億</t>
        </is>
      </c>
    </row>
    <row r="6" ht="17.25" customHeight="1">
      <c r="A6" s="17" t="n">
        <v>2</v>
      </c>
      <c r="B6" s="18" t="inlineStr">
        <is>
          <t>Humanity Brain</t>
        </is>
      </c>
      <c r="C6" s="18" t="inlineStr">
        <is>
          <t>ホームラン(7-8X+)｜実在候補</t>
        </is>
      </c>
      <c r="D6" s="19" t="n">
        <v>16</v>
      </c>
      <c r="E6" s="19" t="n">
        <v>8.5</v>
      </c>
      <c r="F6" s="19">
        <f>D6*E6</f>
        <v/>
      </c>
      <c r="G6" s="20">
        <f>F6/$F$15</f>
        <v/>
      </c>
      <c r="H6" s="16" t="inlineStr">
        <is>
          <t>認知戦対策AI／世論分布の予測（防衛装備庁「社会シミュレーション」採択）</t>
        </is>
      </c>
      <c r="I6" s="38" t="inlineStr">
        <is>
          <t>認知ドメインの解析レイヤー＝Solafune(物理GEOINT)の隣接。防衛装備庁採択＝政府アンカー、デュアルユース・ソフト層で天井高→7-8X級。ただしcomps/Exit薄く要検証、influence-opsのESG論点も［仮・要検証］</t>
        </is>
      </c>
    </row>
    <row r="7" ht="17.25" customHeight="1">
      <c r="A7" s="21" t="n">
        <v>3</v>
      </c>
      <c r="B7" s="22" t="inlineStr">
        <is>
          <t>C</t>
        </is>
      </c>
      <c r="C7" s="22" t="inlineStr">
        <is>
          <t>3-5X級</t>
        </is>
      </c>
      <c r="D7" s="23" t="n">
        <v>14</v>
      </c>
      <c r="E7" s="23" t="n">
        <v>5</v>
      </c>
      <c r="F7" s="24">
        <f>D7*E7</f>
        <v/>
      </c>
      <c r="G7" s="25">
        <f>F7/$F$15</f>
        <v/>
      </c>
      <c r="H7" s="16" t="inlineStr">
        <is>
          <t>都市鉱山・精錬/リサイクル技術</t>
        </is>
      </c>
      <c r="I7" s="38" t="inlineStr">
        <is>
          <t>都市鉱山・精錬/リサイクル：CRMA(重要原材料法)追い風・循環経済TAM拡大→3-5X</t>
        </is>
      </c>
    </row>
    <row r="8" ht="17.25" customHeight="1">
      <c r="A8" s="21" t="n">
        <v>4</v>
      </c>
      <c r="B8" s="22" t="inlineStr">
        <is>
          <t>D</t>
        </is>
      </c>
      <c r="C8" s="22" t="inlineStr">
        <is>
          <t>3-5X級</t>
        </is>
      </c>
      <c r="D8" s="23" t="n">
        <v>13</v>
      </c>
      <c r="E8" s="23" t="n">
        <v>3.5</v>
      </c>
      <c r="F8" s="24">
        <f>D8*E8</f>
        <v/>
      </c>
      <c r="G8" s="25">
        <f>F8/$F$15</f>
        <v/>
      </c>
      <c r="H8" s="16" t="inlineStr">
        <is>
          <t>海上物流・港湾ISR監視</t>
        </is>
      </c>
      <c r="I8" s="38" t="inlineStr">
        <is>
          <t>海上物流・港湾ISR監視：防衛ISR予算・経済安保。ハード薄めSaaSで3-5X下限</t>
        </is>
      </c>
    </row>
    <row r="9" ht="17.25" customHeight="1">
      <c r="A9" s="21" t="n">
        <v>5</v>
      </c>
      <c r="B9" s="22" t="inlineStr">
        <is>
          <t>E</t>
        </is>
      </c>
      <c r="C9" s="22" t="inlineStr">
        <is>
          <t>1-2X級</t>
        </is>
      </c>
      <c r="D9" s="23" t="n">
        <v>13</v>
      </c>
      <c r="E9" s="23" t="n">
        <v>2.3</v>
      </c>
      <c r="F9" s="24">
        <f>D9*E9</f>
        <v/>
      </c>
      <c r="G9" s="25">
        <f>F9/$F$15</f>
        <v/>
      </c>
      <c r="H9" s="16" t="inlineStr">
        <is>
          <t>資源インフラ向けセンシング基盤</t>
        </is>
      </c>
      <c r="I9" s="38" t="inlineStr">
        <is>
          <t>資源インフラ向けセンシング基盤：黎明期・単価不確実→1-2X</t>
        </is>
      </c>
    </row>
    <row r="10" ht="17.25" customHeight="1">
      <c r="A10" s="21" t="n">
        <v>6</v>
      </c>
      <c r="B10" s="22" t="inlineStr">
        <is>
          <t>F</t>
        </is>
      </c>
      <c r="C10" s="22" t="inlineStr">
        <is>
          <t>1-2X級</t>
        </is>
      </c>
      <c r="D10" s="23" t="n">
        <v>12</v>
      </c>
      <c r="E10" s="23" t="n">
        <v>1.5</v>
      </c>
      <c r="F10" s="24">
        <f>D10*E10</f>
        <v/>
      </c>
      <c r="G10" s="25">
        <f>F10/$F$15</f>
        <v/>
      </c>
      <c r="H10" s="16" t="inlineStr">
        <is>
          <t>同領域 早期SU</t>
        </is>
      </c>
      <c r="I10" s="38" t="inlineStr">
        <is>
          <t>同領域 早期SU：分布の裾（中位回収〜毀損込みで期待値を作る）</t>
        </is>
      </c>
    </row>
    <row r="11" ht="17.25" customHeight="1">
      <c r="A11" s="21" t="n">
        <v>7</v>
      </c>
      <c r="B11" s="22" t="inlineStr">
        <is>
          <t>G</t>
        </is>
      </c>
      <c r="C11" s="22" t="inlineStr">
        <is>
          <t>1-2X級(元本回収)</t>
        </is>
      </c>
      <c r="D11" s="23" t="n">
        <v>11</v>
      </c>
      <c r="E11" s="23" t="n">
        <v>1</v>
      </c>
      <c r="F11" s="24">
        <f>D11*E11</f>
        <v/>
      </c>
      <c r="G11" s="25">
        <f>F11/$F$15</f>
        <v/>
      </c>
      <c r="H11" s="16" t="inlineStr">
        <is>
          <t>同領域 早期SU</t>
        </is>
      </c>
      <c r="I11" s="38" t="inlineStr">
        <is>
          <t>同領域 早期SU：分布の裾（中位回収〜毀損込みで期待値を作る）</t>
        </is>
      </c>
    </row>
    <row r="12" ht="17.25" customHeight="1">
      <c r="A12" s="21" t="n">
        <v>8</v>
      </c>
      <c r="B12" s="22" t="inlineStr">
        <is>
          <t>H</t>
        </is>
      </c>
      <c r="C12" s="22" t="inlineStr">
        <is>
          <t>0-1X(部分毀損)</t>
        </is>
      </c>
      <c r="D12" s="23" t="n">
        <v>10</v>
      </c>
      <c r="E12" s="23" t="n">
        <v>0.5</v>
      </c>
      <c r="F12" s="24">
        <f>D12*E12</f>
        <v/>
      </c>
      <c r="G12" s="25">
        <f>F12/$F$15</f>
        <v/>
      </c>
      <c r="H12" s="16" t="inlineStr">
        <is>
          <t>同領域 早期SU</t>
        </is>
      </c>
      <c r="I12" s="38" t="inlineStr">
        <is>
          <t>同領域 早期SU：分布の裾（中位回収〜毀損込みで期待値を作る）</t>
        </is>
      </c>
    </row>
    <row r="13" ht="17.25" customHeight="1">
      <c r="A13" s="21" t="n">
        <v>9</v>
      </c>
      <c r="B13" s="22" t="inlineStr">
        <is>
          <t>I</t>
        </is>
      </c>
      <c r="C13" s="22" t="inlineStr">
        <is>
          <t>0-1X</t>
        </is>
      </c>
      <c r="D13" s="23" t="n">
        <v>9</v>
      </c>
      <c r="E13" s="23" t="n">
        <v>0.3</v>
      </c>
      <c r="F13" s="24">
        <f>D13*E13</f>
        <v/>
      </c>
      <c r="G13" s="25">
        <f>F13/$F$15</f>
        <v/>
      </c>
      <c r="H13" s="16" t="inlineStr">
        <is>
          <t>同領域 早期SU</t>
        </is>
      </c>
      <c r="I13" s="38" t="inlineStr">
        <is>
          <t>同領域 早期SU：分布の裾（中位回収〜毀損込みで期待値を作る）</t>
        </is>
      </c>
    </row>
    <row r="14" ht="17.25" customHeight="1">
      <c r="A14" s="21" t="n">
        <v>10</v>
      </c>
      <c r="B14" s="22" t="inlineStr">
        <is>
          <t>J</t>
        </is>
      </c>
      <c r="C14" s="22" t="inlineStr">
        <is>
          <t>全損</t>
        </is>
      </c>
      <c r="D14" s="23" t="n">
        <v>8</v>
      </c>
      <c r="E14" s="23" t="n">
        <v>0</v>
      </c>
      <c r="F14" s="24">
        <f>D14*E14</f>
        <v/>
      </c>
      <c r="G14" s="25">
        <f>F14/$F$15</f>
        <v/>
      </c>
      <c r="H14" s="16" t="inlineStr">
        <is>
          <t>同領域 早期SU</t>
        </is>
      </c>
      <c r="I14" s="38" t="inlineStr">
        <is>
          <t>同領域 早期SU：分布の裾（中位回収〜毀損込みで期待値を作る）</t>
        </is>
      </c>
    </row>
    <row r="15" ht="17.25" customHeight="1">
      <c r="A15" s="26" t="n"/>
      <c r="B15" s="27" t="inlineStr">
        <is>
          <t>合計（10社）</t>
        </is>
      </c>
      <c r="C15" s="27" t="inlineStr">
        <is>
          <t>グロス倍率→</t>
        </is>
      </c>
      <c r="D15" s="28">
        <f>SUM(D5:D14)</f>
        <v/>
      </c>
      <c r="E15" s="28">
        <f>F15/D15</f>
        <v/>
      </c>
      <c r="F15" s="28">
        <f>SUM(F5:F14)</f>
        <v/>
      </c>
      <c r="G15" s="29" t="n">
        <v>1</v>
      </c>
      <c r="H15" s="38" t="n"/>
      <c r="I15" s="38" t="n"/>
    </row>
    <row r="16" ht="17.25" customHeight="1">
      <c r="A16" s="37" t="n"/>
      <c r="B16" s="38" t="n"/>
      <c r="C16" s="38" t="n"/>
      <c r="D16" s="39" t="n"/>
      <c r="E16" s="39" t="n"/>
      <c r="F16" s="38" t="n"/>
      <c r="G16" s="40" t="n"/>
      <c r="H16" s="38" t="n"/>
      <c r="I16" s="38" t="n"/>
    </row>
    <row r="17" ht="17.25" customHeight="1">
      <c r="A17" s="37" t="n"/>
      <c r="B17" s="74" t="inlineStr">
        <is>
          <t>■ 検算（グロス→ネット）</t>
        </is>
      </c>
      <c r="C17" s="38" t="n"/>
      <c r="D17" s="31" t="n"/>
      <c r="E17" s="39" t="n"/>
      <c r="F17" s="38" t="n"/>
      <c r="G17" s="40" t="n"/>
      <c r="H17" s="38" t="n"/>
      <c r="I17" s="38" t="n"/>
    </row>
    <row r="18" ht="17.25" customHeight="1">
      <c r="A18" s="37" t="n"/>
      <c r="B18" s="38" t="inlineStr">
        <is>
          <t>投下資本合計(億)</t>
        </is>
      </c>
      <c r="C18" s="38" t="n"/>
      <c r="D18" s="31">
        <f>D15</f>
        <v/>
      </c>
      <c r="E18" s="39" t="n"/>
      <c r="F18" s="38" t="n"/>
      <c r="G18" s="40" t="n"/>
      <c r="H18" s="38" t="n"/>
      <c r="I18" s="38" t="n"/>
    </row>
    <row r="19" ht="17.25" customHeight="1">
      <c r="A19" s="37" t="n"/>
      <c r="B19" s="38" t="inlineStr">
        <is>
          <t>グロス回収合計(億)</t>
        </is>
      </c>
      <c r="C19" s="38" t="n"/>
      <c r="D19" s="31">
        <f>F15</f>
        <v/>
      </c>
      <c r="E19" s="39" t="n"/>
      <c r="F19" s="38" t="n"/>
      <c r="G19" s="40" t="n"/>
      <c r="H19" s="38" t="n"/>
      <c r="I19" s="38" t="n"/>
    </row>
    <row r="20" ht="17.25" customHeight="1">
      <c r="A20" s="37" t="n"/>
      <c r="B20" s="38" t="inlineStr">
        <is>
          <t>グロス倍率（対投下資本）</t>
        </is>
      </c>
      <c r="C20" s="38" t="n"/>
      <c r="D20" s="32">
        <f>F15/D15</f>
        <v/>
      </c>
      <c r="E20" s="39" t="n"/>
      <c r="F20" s="38" t="n"/>
      <c r="G20" s="40" t="n"/>
      <c r="H20" s="38" t="n"/>
      <c r="I20" s="38" t="n"/>
    </row>
    <row r="21" ht="17.25" customHeight="1">
      <c r="A21" s="37" t="n"/>
      <c r="B21" s="38" t="inlineStr">
        <is>
          <t>ファンド総額(億)</t>
        </is>
      </c>
      <c r="C21" s="38" t="n"/>
      <c r="D21" s="31">
        <f>前提!$B$5</f>
        <v/>
      </c>
      <c r="E21" s="39" t="n"/>
      <c r="F21" s="38" t="n"/>
      <c r="G21" s="40" t="n"/>
      <c r="H21" s="38" t="n"/>
      <c r="I21" s="38" t="n"/>
    </row>
    <row r="22" ht="17.25" customHeight="1">
      <c r="A22" s="37" t="n"/>
      <c r="B22" s="38" t="inlineStr">
        <is>
          <t>LP分配=元本+利益80%</t>
        </is>
      </c>
      <c r="C22" s="38" t="n"/>
      <c r="D22" s="31">
        <f>前提!$B$5+0.8*(F15-前提!$B$5)</f>
        <v/>
      </c>
      <c r="E22" s="39" t="n"/>
      <c r="F22" s="38" t="n"/>
      <c r="G22" s="40" t="n"/>
      <c r="H22" s="38" t="n"/>
      <c r="I22" s="38" t="n"/>
    </row>
    <row r="23" ht="17.25" customHeight="1">
      <c r="A23" s="37" t="n"/>
      <c r="B23" s="38" t="inlineStr">
        <is>
          <t>GPキャリー20%</t>
        </is>
      </c>
      <c r="C23" s="38" t="n"/>
      <c r="D23" s="31">
        <f>0.2*(F15-前提!$B$5)</f>
        <v/>
      </c>
      <c r="E23" s="39" t="n"/>
      <c r="F23" s="38" t="n"/>
      <c r="G23" s="40" t="n"/>
      <c r="H23" s="38" t="n"/>
      <c r="I23" s="38" t="n"/>
    </row>
    <row r="24" ht="17.25" customHeight="1">
      <c r="A24" s="37" t="n"/>
      <c r="B24" s="33" t="inlineStr">
        <is>
          <t>★ ネットDPI（対ファンド総額）</t>
        </is>
      </c>
      <c r="C24" s="38" t="n"/>
      <c r="D24" s="34">
        <f>(前提!$B$5+0.8*(F15-前提!$B$5))/前提!$B$5</f>
        <v/>
      </c>
      <c r="E24" s="39" t="n"/>
      <c r="F24" s="38" t="n"/>
      <c r="G24" s="40" t="n"/>
      <c r="H24" s="38" t="n"/>
      <c r="I24" s="38" t="n"/>
    </row>
    <row r="25" ht="17.25" customHeight="1">
      <c r="A25" s="37" t="n"/>
      <c r="B25" s="38" t="inlineStr">
        <is>
          <t>参考：Solafune単独のファンド倍率</t>
        </is>
      </c>
      <c r="C25" s="38" t="n"/>
      <c r="D25" s="32">
        <f>リターン!$B$14</f>
        <v/>
      </c>
      <c r="E25" s="39" t="n"/>
      <c r="F25" s="38" t="n"/>
      <c r="G25" s="40" t="n"/>
      <c r="H25" s="38" t="n"/>
      <c r="I25" s="38" t="n"/>
    </row>
    <row r="26" ht="17.25" customHeight="1">
      <c r="A26" s="37" t="n"/>
      <c r="B26" s="38" t="inlineStr">
        <is>
          <t>参考：上位2社の回収シェア</t>
        </is>
      </c>
      <c r="C26" s="38" t="n"/>
      <c r="D26" s="35">
        <f>(F5+F6)/F15</f>
        <v/>
      </c>
      <c r="E26" s="39" t="n"/>
      <c r="F26" s="38" t="n"/>
      <c r="G26" s="40" t="n"/>
      <c r="H26" s="38" t="n"/>
      <c r="I26" s="38" t="n"/>
    </row>
    <row r="27" ht="17.25" customHeight="1">
      <c r="A27" s="37" t="n"/>
      <c r="B27" s="38" t="n"/>
      <c r="C27" s="38" t="n"/>
      <c r="D27" s="39" t="n"/>
      <c r="E27" s="39" t="n"/>
      <c r="F27" s="38" t="n"/>
      <c r="G27" s="40" t="n"/>
      <c r="H27" s="38" t="n"/>
      <c r="I27" s="38" t="n"/>
    </row>
    <row r="28" ht="17.25" customHeight="1">
      <c r="A28" s="37" t="n"/>
      <c r="B28" s="74" t="inlineStr">
        <is>
          <t>■ リザーブ検算（社別投下の集計→ファンド全体比）</t>
        </is>
      </c>
      <c r="C28" s="38" t="n"/>
      <c r="D28" s="31" t="n"/>
      <c r="E28" s="39" t="n"/>
      <c r="F28" s="38" t="n"/>
      <c r="G28" s="40" t="n"/>
      <c r="H28" s="38" t="n"/>
      <c r="I28" s="38" t="n"/>
    </row>
    <row r="29" ht="17.25" customHeight="1">
      <c r="A29" s="37" t="n"/>
      <c r="B29" s="38" t="inlineStr">
        <is>
          <t>初回合計（=初回チケット5.5×10社）</t>
        </is>
      </c>
      <c r="C29" s="38" t="n"/>
      <c r="D29" s="31">
        <f>前提!$B$12*10</f>
        <v/>
      </c>
      <c r="E29" s="39" t="n"/>
      <c r="F29" s="38" t="n"/>
      <c r="G29" s="40" t="n"/>
      <c r="H29" s="38" t="n"/>
      <c r="I29" s="38" t="n"/>
    </row>
    <row r="30" ht="17.25" customHeight="1">
      <c r="A30" s="37" t="n"/>
      <c r="B30" s="38" t="inlineStr">
        <is>
          <t>追加合計（=投下合計−初回合計）</t>
        </is>
      </c>
      <c r="C30" s="38" t="n"/>
      <c r="D30" s="31">
        <f>D15-前提!$B$12*10</f>
        <v/>
      </c>
      <c r="E30" s="39" t="n"/>
      <c r="F30" s="38" t="n"/>
      <c r="G30" s="40" t="n"/>
      <c r="H30" s="38" t="n"/>
      <c r="I30" s="38" t="n"/>
    </row>
    <row r="31" ht="17.25" customHeight="1">
      <c r="A31" s="37" t="n"/>
      <c r="B31" s="33" t="inlineStr">
        <is>
          <t>→ 初回:追加 比率（≒45:55に一致）</t>
        </is>
      </c>
      <c r="C31" s="38" t="n"/>
      <c r="D31" s="36">
        <f>(前提!$B$12*10)/D15</f>
        <v/>
      </c>
      <c r="E31" s="39" t="n"/>
      <c r="F31" s="38" t="n"/>
      <c r="G31" s="40" t="n"/>
      <c r="H31" s="38" t="n"/>
      <c r="I31" s="3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2026-06-20T08:32:55Z</dcterms:created>
  <dcterms:modified xmlns:dcterms="http://purl.org/dc/terms/" xmlns:xsi="http://www.w3.org/2001/XMLSchema-instance" xsi:type="dcterms:W3CDTF">2026-06-20T08:59:07Z</dcterms:modified>
</cp:coreProperties>
</file>