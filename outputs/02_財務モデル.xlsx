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前提"/>
    <sheet r:id="rId2" sheetId="2" name="PL"/>
    <sheet r:id="rId3" sheetId="3" name="Exit"/>
    <sheet r:id="rId4" sheetId="4" name="リターン"/>
    <sheet r:id="rId5" sheetId="5" name="感度分析"/>
    <sheet r:id="rId6" sheetId="6" name="ポートフォリオ"/>
  </sheets>
  <calcPr fullCalcOnLoad="1"/>
</workbook>
</file>

<file path=xl/sharedStrings.xml><?xml version="1.0" encoding="utf-8"?>
<sst xmlns="http://schemas.openxmlformats.org/spreadsheetml/2006/main" count="246" uniqueCount="191">
  <si>
    <t>ポートフォリオ構築（べき乗則）― net DPI 3.0X はアウトライヤーの積み上げで作る</t>
  </si>
  <si>
    <t>※ Solafune以外の9社は「分布の形」を示す例示（仮・要検証）。ただし勝ち馬B＝Humanity Brain（防衛装備庁採択の認知戦AI）は実在候補。黄=入力／回収F=想定comp倍率(J)×想定Exit売上(K)×想定Exit持分(L)の逆算式、MOIC E=F/D。H列=候補領域・I列=倍率根拠（領域→comp→MOICの橋）。Solafune行はリターン!B12連動（全チェーン駆動）、投下は前提!B18連動。</t>
  </si>
  <si>
    <t>#</t>
  </si>
  <si>
    <t>会社</t>
  </si>
  <si>
    <t>区分</t>
  </si>
  <si>
    <t>投下資本(億)</t>
  </si>
  <si>
    <t>MOIC(X)</t>
  </si>
  <si>
    <t>回収額(億)</t>
  </si>
  <si>
    <t>回収シェア</t>
  </si>
  <si>
    <t>想定候補領域（仮）</t>
  </si>
  <si>
    <t>倍率根拠（TAM/Exit comp）</t>
  </si>
  <si>
    <t>想定comp倍率(仮)</t>
  </si>
  <si>
    <t>想定Exit売上(億,仮)</t>
  </si>
  <si>
    <t>想定Exit持分%(仮)</t>
  </si>
  <si>
    <t>Solafune</t>
  </si>
  <si>
    <t>★ファンドリターナー</t>
  </si>
  <si>
    <t>衛星×AI解析レイヤー（本命）</t>
  </si>
  <si>
    <t>EV/Sales17倍×Exit売上101億（§5統計導出）＝206億</t>
  </si>
  <si>
    <t>←リターン連動</t>
  </si>
  <si>
    <t>Humanity Brain</t>
  </si>
  <si>
    <t>ホームラン(7-8X+)｜実在候補</t>
  </si>
  <si>
    <t>認知戦対策AI／世論分布の予測（防衛装備庁「社会シミュレーション」採択）</t>
  </si>
  <si>
    <t>認知ドメインの解析レイヤー＝Solafune(物理GEOINT)の隣接。防衛装備庁採択＝政府アンカー、デュアルユース・ソフト層で天井高。comp17倍×想定Exit売上80億×想定持分10%→EV1,360億・回収136億（8.5X級）。comps/Exit薄く要検証、influence-opsのESG論点も［仮・要検証］</t>
  </si>
  <si>
    <t>C</t>
  </si>
  <si>
    <t>3-5X級</t>
  </si>
  <si>
    <t>都市鉱山・精錬/リサイクル技術</t>
  </si>
  <si>
    <t>都市鉱山・精錬/リサイクル：CRMA(重要原材料法)追い風・循環経済TAM拡大。comp10倍×想定Exit売上70億×想定持分10%→EV700億・回収70億（5X級）［仮・要検証］</t>
  </si>
  <si>
    <t>D</t>
  </si>
  <si>
    <t>海上物流・港湾ISR監視</t>
  </si>
  <si>
    <t>海上物流・港湾ISR監視：防衛ISR予算・経済安保。ハード薄めSaaS。comp8倍×想定Exit売上65億×想定持分9%→EV520億・回収45.5億（3.5X級）［仮・要検証］</t>
  </si>
  <si>
    <t>E</t>
  </si>
  <si>
    <t>1-2X級</t>
  </si>
  <si>
    <t>資源インフラ向けセンシング基盤</t>
  </si>
  <si>
    <t>資源インフラ向けセンシング基盤：黎明期・単価不確実。comp7倍×想定Exit売上57億×想定持分8%→EV399億・回収29.9億（2.3X級）［仮・要検証］</t>
  </si>
  <si>
    <t>F</t>
  </si>
  <si>
    <t>同領域 早期SU</t>
  </si>
  <si>
    <t>同領域 早期SU：分布の中位。comp6倍×想定Exit売上45億×想定持分7%→EV270億・回収18億（1.5X級）［仮・要検証］</t>
  </si>
  <si>
    <t>G</t>
  </si>
  <si>
    <t>1-2X級(元本回収)</t>
  </si>
  <si>
    <t>同領域 早期SU（元本回収）：comp5倍×想定Exit売上40億×想定持分6%→EV200億・回収11億（1.0X）［仮・要検証］</t>
  </si>
  <si>
    <t>H</t>
  </si>
  <si>
    <t>0-1X(部分毀損)</t>
  </si>
  <si>
    <t>同領域 早期SU（部分毀損）：comp5倍×想定Exit売上25億×想定持分5%→EV125億・回収5億（0.5X）［仮・要検証］</t>
  </si>
  <si>
    <t>I</t>
  </si>
  <si>
    <t>0-1X</t>
  </si>
  <si>
    <t>同領域 早期SU（0-1X）：comp4倍×想定Exit売上18億×想定持分5%→EV72億・回収2.7億（0.3X）［仮・要検証］</t>
  </si>
  <si>
    <t>J</t>
  </si>
  <si>
    <t>全損</t>
  </si>
  <si>
    <t>同領域 早期SU（全損）：想定Exit持分0%（希薄化/毀損で消滅）→回収0億。分布の裾で期待値を作る［仮・要検証］</t>
  </si>
  <si>
    <t>合計（10社）</t>
  </si>
  <si>
    <t>グロス倍率→</t>
  </si>
  <si>
    <t>■ 検算（グロス→ネット）</t>
  </si>
  <si>
    <t>投下資本合計(億)</t>
  </si>
  <si>
    <t>グロス回収合計(億)</t>
  </si>
  <si>
    <t>グロス倍率（対投下資本）</t>
  </si>
  <si>
    <t>ファンド総額(億)</t>
  </si>
  <si>
    <t>LP分配=元本+利益80%</t>
  </si>
  <si>
    <t>GPキャリー20%</t>
  </si>
  <si>
    <t>★ ネットDPI（対ファンド総額）</t>
  </si>
  <si>
    <t>参考：Solafune単独のファンド倍率</t>
  </si>
  <si>
    <t>参考：上位2社の回収シェア</t>
  </si>
  <si>
    <t>■ リザーブ検算（社別投下の集計→ファンド全体比）</t>
  </si>
  <si>
    <t>初回合計（=初回チケット5.5×10社）</t>
  </si>
  <si>
    <t>追加合計（=投下合計−初回合計）</t>
  </si>
  <si>
    <t>→ 初回:追加 比率（≒45:55に一致）</t>
  </si>
  <si>
    <t>感度分析 ― ポジション回収額(億円) = Exit売上 × EV/Sales × Exit持分。緑=150億超(ファンドリターナー成立域)</t>
  </si>
  <si>
    <t>ポジション回収額(億円)</t>
  </si>
  <si>
    <t>EV/Sales ＼ Exit持分</t>
  </si>
  <si>
    <t>参考：Exit企業価値(億円) = Exit売上 × EV/Sales</t>
  </si>
  <si>
    <t>EV/Sales</t>
  </si>
  <si>
    <t>Exit企業価値</t>
  </si>
  <si>
    <t>判定@現Exit持分</t>
  </si>
  <si>
    <t>読み方：各セル=ポジション回収額(=Exit売上×EV/Sales×Exit持分)。150億以上=緑=ファンドリターナー成立。Exit売上はExit!B5(=PL2032)に連動。EV/SalesはA列(黄)を変更すると表1・表2・判定が再計算。</t>
  </si>
  <si>
    <t>リターン ― エントリー持分/希薄化/Exit持分/MOIC/ポジション/ファンド倍率/ファンドリターナー判定</t>
  </si>
  <si>
    <t>項目</t>
  </si>
  <si>
    <t>値</t>
  </si>
  <si>
    <t>単位</t>
  </si>
  <si>
    <t>数式の意味</t>
  </si>
  <si>
    <t>初回投資額</t>
  </si>
  <si>
    <t>億円</t>
  </si>
  <si>
    <t>前提!初回投資</t>
  </si>
  <si>
    <t>投資時点 Pre-Val（投資前）</t>
  </si>
  <si>
    <t>前提!Post-Val</t>
  </si>
  <si>
    <t>エントリー持分（数式）</t>
  </si>
  <si>
    <t>初回投資/(Post-Val+初回投資)</t>
  </si>
  <si>
    <t>目標エントリー持分（テーゼ）</t>
  </si>
  <si>
    <t>前提!目標15%</t>
  </si>
  <si>
    <t>エントリー持分 vs 目標 差</t>
  </si>
  <si>
    <t>実−目標（注記用）</t>
  </si>
  <si>
    <t>Exit持分（希薄化後）</t>
  </si>
  <si>
    <t>前提!Exit持分</t>
  </si>
  <si>
    <t>希薄化（エントリー→Exit）</t>
  </si>
  <si>
    <t>エントリー持分−Exit持分</t>
  </si>
  <si>
    <t>Exit企業価値（基準）</t>
  </si>
  <si>
    <t>Exit!基準企業価値</t>
  </si>
  <si>
    <t>ポジション回収額</t>
  </si>
  <si>
    <t>Exit企業価値×Exit持分</t>
  </si>
  <si>
    <t>MOIC（対初回チケット5.5億・参考）</t>
  </si>
  <si>
    <t>X</t>
  </si>
  <si>
    <t>ポジション/初回投資</t>
  </si>
  <si>
    <t>ファンド倍率（対総額）</t>
  </si>
  <si>
    <t>ポジション/ファンド総額</t>
  </si>
  <si>
    <t>ファンドリターナー閾値</t>
  </si>
  <si>
    <t>前提!閾値150億</t>
  </si>
  <si>
    <t>ファンドリターナー判定</t>
  </si>
  <si>
    <t>判定</t>
  </si>
  <si>
    <t>IF(ポジション&gt;=閾値150,○,×)</t>
  </si>
  <si>
    <t>MOIC（対総コミット16.5億）</t>
  </si>
  <si>
    <t>■ 必要Exit企業価値（閾値150億 到達に必要）</t>
  </si>
  <si>
    <t>持分10%で必要なExit企業価値</t>
  </si>
  <si>
    <t>150/10%</t>
  </si>
  <si>
    <t>持分11%で必要なExit企業価値</t>
  </si>
  <si>
    <t>150/11%≒1,360億</t>
  </si>
  <si>
    <t>現Exit持分で必要なExit企業価値</t>
  </si>
  <si>
    <t>150/Exit持分</t>
  </si>
  <si>
    <t>投資後Post-Val（=Pre+初回投資）</t>
  </si>
  <si>
    <t>注：エントリー持分=初回投資/(Pre-Val+初回投資)=初回投資/投資後Post-Val。基本=Pre31億+初回5.5億→投資後Post36.5億→5.5/36.5≒15.1%（単独リードでPreを30〜35億に交渉／教材「持分=チケット/Post」と整合）。下方=Pre40億据置なら5.5/45.5≒12.1%でも検算成立。Exit持分=希薄化後（前提B23=12%）。MOICは対初回37.5X(参考)と対総コミット12.5Xを併記。</t>
  </si>
  <si>
    <t>Exit（企業価値 = Exit売上 × EV/Sales）― IPO/M&amp;A=企業価値、セカンダリ=×(1−割引率)</t>
  </si>
  <si>
    <t>参照/数式の意味</t>
  </si>
  <si>
    <t>Exit年</t>
  </si>
  <si>
    <t>年</t>
  </si>
  <si>
    <t>前提!Exit年</t>
  </si>
  <si>
    <t>Exit時 売上</t>
  </si>
  <si>
    <t>PL!2032売上（CAGR延伸）</t>
  </si>
  <si>
    <t>EV/Sales 倍率</t>
  </si>
  <si>
    <t>倍</t>
  </si>
  <si>
    <t>前提!EV/Sales</t>
  </si>
  <si>
    <t>Exit売上×EV/Sales</t>
  </si>
  <si>
    <t>■ Exit経路別 企業価値</t>
  </si>
  <si>
    <t>① IPO（東証グロース）</t>
  </si>
  <si>
    <t>企業価値そのまま</t>
  </si>
  <si>
    <t>② M&amp;A（重工/商社プライム）</t>
  </si>
  <si>
    <t>③ セカンダリ</t>
  </si>
  <si>
    <t>企業価値×(1−割引率)</t>
  </si>
  <si>
    <t>PL（損益, 億円）2026〜2032 ― 売上は前提参照、2031/2032はCAGR延伸（数式）</t>
  </si>
  <si>
    <t>項目（億円）</t>
  </si>
  <si>
    <t>売上高</t>
  </si>
  <si>
    <t>前年比成長率</t>
  </si>
  <si>
    <t>―</t>
  </si>
  <si>
    <t>粗利率 GM%</t>
  </si>
  <si>
    <t>粗利</t>
  </si>
  <si>
    <t>営業費用(簡易=売上×40%)</t>
  </si>
  <si>
    <t>営業損益</t>
  </si>
  <si>
    <t>注：2031/2032売上＝前年×(1+前提CAGR)。GM%は2030水準を維持（保守）。OPEXは簡易係数。</t>
  </si>
  <si>
    <t>前提（Assumptions）― 黄=編集可能入力 / 緑=数式算出。Solafune（衛星データ解析×経済安保デュアルユース）</t>
  </si>
  <si>
    <t>仮</t>
  </si>
  <si>
    <t>注記/出典</t>
  </si>
  <si>
    <t>■ ファンド前提（最新・確定）</t>
  </si>
  <si>
    <t>ファンド総額（3号）</t>
  </si>
  <si>
    <t>1号30億 DPI2.0X / 2号80億 DPI1.5X</t>
  </si>
  <si>
    <t>管理報酬率</t>
  </si>
  <si>
    <t>/年</t>
  </si>
  <si>
    <t>費用2%（10年累計の目安として控除）</t>
  </si>
  <si>
    <t>キャリー</t>
  </si>
  <si>
    <t>成功報酬20%</t>
  </si>
  <si>
    <t>運用年数</t>
  </si>
  <si>
    <t>投資5＋回収5（最大+2）</t>
  </si>
  <si>
    <t>費用控除後 投資可能資本</t>
  </si>
  <si>
    <t>≒約125億円（管理2%×8.3年相当の費用累計を控除した投資可能枠の近似）</t>
  </si>
  <si>
    <t>対象1社ポジション回収額がこれ以上でTRUE</t>
  </si>
  <si>
    <t>目標ネットDPI</t>
  </si>
  <si>
    <t>グロス約4.3X（対投資可能資本）</t>
  </si>
  <si>
    <t>初回チケット</t>
  </si>
  <si>
    <t>集中度上限（対ファンド総額）</t>
  </si>
  <si>
    <t>集中度上限13%（対ファンド総額150億）</t>
  </si>
  <si>
    <t>集中度上限 金額</t>
  </si>
  <si>
    <t>≒約20億円（=ファンド総額150億×13%）</t>
  </si>
  <si>
    <t>リザーブ比率：初回（ファンド全体・集計）</t>
  </si>
  <si>
    <t>初回:追加=45:55</t>
  </si>
  <si>
    <t>リザーブ比率：追加（ファンド全体・集計）</t>
  </si>
  <si>
    <t>目標15%。実エントリー持分は数式算出し差を注記</t>
  </si>
  <si>
    <t>Solafune総コミット（初回+追加, super pro-rata）</t>
  </si>
  <si>
    <t>■ 投資・バリュエーション前提（仮・要検証）</t>
  </si>
  <si>
    <t>投資時点 Pre-Val（投資前評価）</t>
  </si>
  <si>
    <t>シード〜プレA拡大組成で交渉する投資前評価（非開示につき置き）。Post=Pre31+初回5.5=36.5</t>
  </si>
  <si>
    <t>初回投資額（=初回チケット）</t>
  </si>
  <si>
    <t>前提!B12を参照</t>
  </si>
  <si>
    <t>EV/Sales 倍率（Exit評価）</t>
  </si>
  <si>
    <t>comps採用群中央値10倍を起点にソフト比率・粗利・主権プレミアムで上位寄せ→17倍。Palantir現況60.7倍はバブル除外。感度12〜20</t>
  </si>
  <si>
    <t>10〜12%。希薄化後の想定</t>
  </si>
  <si>
    <t>2032年Exit想定</t>
  </si>
  <si>
    <t>売上CAGR（2031以降延伸）</t>
  </si>
  <si>
    <t>2030売上85億を延伸→2032≒100億（Exit評価1,500-1,800億に整合）。高成長想定なら引上げ</t>
  </si>
  <si>
    <t>セカンダリ割引率</t>
  </si>
  <si>
    <t>セカンダリExit時の割引</t>
  </si>
  <si>
    <t>■ 売上前提（億円, 編集可能。PLが参照）</t>
  </si>
  <si>
    <t>年度</t>
  </si>
  <si>
    <t>売上（仮）</t>
  </si>
  <si>
    <t>← 2026-2030は入力。2031/2032はPLでCAGR延伸</t>
  </si>
  <si>
    <t>GM%（仮, 逓増）</t>
  </si>
  <si>
    <t>← 60%→72% 年次逓増（入力）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</si>
</sst>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3">
    <numFmt numFmtId="164" formatCode="#,##0.0"/>
    <numFmt numFmtId="165" formatCode="#,##0.0%"/>
    <numFmt numFmtId="166" formatCode="#,##0.00%"/>
  </numFmts>
  <fonts count="14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</font>
    <font>
      <sz val="11"/>
      <color theme="1"/>
      <name val="Calibri"/>
      <family val="2"/>
    </font>
    <font>
      <sz val="9"/>
      <color rgb="FF808080"/>
      <name val="Calibri"/>
      <family val="2"/>
    </font>
    <font>
      <sz val="11"/>
      <color rgb="FFffffff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9"/>
      <color rgb="FF000000"/>
      <name val="Calibri"/>
      <family val="2"/>
    </font>
    <font>
      <sz val="9"/>
      <color theme="1"/>
      <name val="Calibri"/>
      <family val="2"/>
    </font>
    <font>
      <sz val="11"/>
      <color rgb="FF1f4e78"/>
      <name val="Calibri"/>
      <family val="2"/>
    </font>
    <font>
      <sz val="14"/>
      <color rgb="FFffffff"/>
      <name val="Calibri"/>
      <family val="2"/>
    </font>
    <font>
      <sz val="11"/>
      <color rgb="FF9c5700"/>
      <name val="Calibri"/>
      <family val="2"/>
    </font>
    <font>
      <sz val="12"/>
      <color rgb="FF006100"/>
      <name val="Calibri"/>
      <family val="2"/>
    </font>
    <font>
      <sz val="11"/>
      <color rgb="FFc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1f2"/>
      </patternFill>
    </fill>
    <fill>
      <patternFill patternType="solid">
        <fgColor rgb="FFc6e0b4"/>
      </patternFill>
    </fill>
    <fill>
      <patternFill patternType="solid">
        <fgColor rgb="FFffe699"/>
      </patternFill>
    </fill>
    <fill>
      <patternFill patternType="solid">
        <fgColor rgb="FFfff2cc"/>
      </patternFill>
    </fill>
    <fill>
      <patternFill patternType="solid">
        <fgColor rgb="FF2e75b6"/>
      </patternFill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rgb="FFc6efce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14">
    <xf xfId="0" numFmtId="0" borderId="0" fontId="0" fillId="0"/>
    <xf xfId="0" numFmtId="3" applyNumberFormat="1" borderId="1" applyBorder="1" fontId="1" applyFont="1" fillId="0" applyAlignment="1">
      <alignment horizontal="left"/>
    </xf>
    <xf xfId="0" numFmtId="0" borderId="0" fontId="0" fillId="0" applyAlignment="1">
      <alignment horizontal="left"/>
    </xf>
    <xf xfId="0" numFmtId="0" borderId="0" fontId="0" fillId="0" applyAlignment="1">
      <alignment horizontal="general"/>
    </xf>
    <xf xfId="0" numFmtId="164" applyNumberFormat="1" borderId="1" applyBorder="1" fontId="2" applyFont="1" fillId="0" applyAlignment="1">
      <alignment horizontal="right"/>
    </xf>
    <xf xfId="0" numFmtId="165" applyNumberFormat="1" borderId="1" applyBorder="1" fontId="2" applyFont="1" fillId="0" applyAlignment="1">
      <alignment horizontal="right"/>
    </xf>
    <xf xfId="0" numFmtId="164" applyNumberFormat="1" borderId="0" fontId="0" fillId="0" applyAlignment="1">
      <alignment horizontal="general"/>
    </xf>
    <xf xfId="0" numFmtId="166" applyNumberFormat="1" borderId="0" fontId="0" fillId="0" applyAlignment="1">
      <alignment horizontal="general"/>
    </xf>
    <xf xfId="0" numFmtId="3" applyNumberFormat="1" borderId="1" applyBorder="1" fontId="3" applyFont="1" fillId="0" applyAlignment="1">
      <alignment horizontal="left"/>
    </xf>
    <xf xfId="0" numFmtId="3" applyNumberFormat="1" borderId="1" applyBorder="1" fontId="2" applyFont="1" fillId="0" applyAlignment="1">
      <alignment horizontal="right"/>
    </xf>
    <xf xfId="0" numFmtId="3" applyNumberFormat="1" borderId="2" applyBorder="1" fontId="4" applyFont="1" fillId="2" applyFill="1" applyAlignment="1">
      <alignment horizontal="center"/>
    </xf>
    <xf xfId="0" numFmtId="0" borderId="2" applyBorder="1" fontId="4" applyFont="1" fillId="2" applyFill="1" applyAlignment="1">
      <alignment horizontal="center"/>
    </xf>
    <xf xfId="0" numFmtId="164" applyNumberFormat="1" borderId="2" applyBorder="1" fontId="4" applyFont="1" fillId="2" applyFill="1" applyAlignment="1">
      <alignment horizontal="center"/>
    </xf>
    <xf xfId="0" numFmtId="165" applyNumberFormat="1" borderId="2" applyBorder="1" fontId="4" applyFont="1" fillId="2" applyFill="1" applyAlignment="1">
      <alignment horizontal="center"/>
    </xf>
    <xf xfId="0" numFmtId="0" borderId="3" applyBorder="1" fontId="4" applyFont="1" fillId="2" applyFill="1" applyAlignment="1">
      <alignment horizontal="left"/>
    </xf>
    <xf xfId="0" numFmtId="164" applyNumberFormat="1" borderId="3" applyBorder="1" fontId="5" applyFont="1" fillId="3" applyFill="1" applyAlignment="1">
      <alignment horizontal="center" wrapText="1"/>
    </xf>
    <xf xfId="0" numFmtId="166" applyNumberFormat="1" borderId="3" applyBorder="1" fontId="5" applyFont="1" fillId="3" applyFill="1" applyAlignment="1">
      <alignment horizontal="center" wrapText="1"/>
    </xf>
    <xf xfId="0" numFmtId="3" applyNumberFormat="1" borderId="2" applyBorder="1" fontId="6" applyFont="1" fillId="4" applyFill="1" applyAlignment="1">
      <alignment horizontal="right"/>
    </xf>
    <xf xfId="0" numFmtId="0" borderId="2" applyBorder="1" fontId="6" applyFont="1" fillId="4" applyFill="1" applyAlignment="1">
      <alignment horizontal="left"/>
    </xf>
    <xf xfId="0" numFmtId="164" applyNumberFormat="1" borderId="2" applyBorder="1" fontId="6" applyFont="1" fillId="4" applyFill="1" applyAlignment="1">
      <alignment horizontal="right"/>
    </xf>
    <xf xfId="0" numFmtId="165" applyNumberFormat="1" borderId="2" applyBorder="1" fontId="6" applyFont="1" fillId="4" applyFill="1" applyAlignment="1">
      <alignment horizontal="right"/>
    </xf>
    <xf xfId="0" numFmtId="0" borderId="2" applyBorder="1" fontId="7" applyFont="1" fillId="0" applyAlignment="1">
      <alignment horizontal="left"/>
    </xf>
    <xf xfId="0" numFmtId="164" applyNumberFormat="1" borderId="1" applyBorder="1" fontId="8" applyFont="1" fillId="0" applyAlignment="1">
      <alignment horizontal="center"/>
    </xf>
    <xf xfId="0" numFmtId="3" applyNumberFormat="1" borderId="2" applyBorder="1" fontId="6" applyFont="1" fillId="5" applyFill="1" applyAlignment="1">
      <alignment horizontal="right"/>
    </xf>
    <xf xfId="0" numFmtId="0" borderId="2" applyBorder="1" fontId="6" applyFont="1" fillId="5" applyFill="1" applyAlignment="1">
      <alignment horizontal="left"/>
    </xf>
    <xf xfId="0" numFmtId="164" applyNumberFormat="1" borderId="2" applyBorder="1" fontId="6" applyFont="1" fillId="5" applyFill="1" applyAlignment="1">
      <alignment horizontal="right"/>
    </xf>
    <xf xfId="0" numFmtId="165" applyNumberFormat="1" borderId="2" applyBorder="1" fontId="6" applyFont="1" fillId="5" applyFill="1" applyAlignment="1">
      <alignment horizontal="right"/>
    </xf>
    <xf xfId="0" numFmtId="164" applyNumberFormat="1" borderId="3" applyBorder="1" fontId="2" applyFont="1" fillId="6" applyFill="1" applyAlignment="1">
      <alignment horizontal="right"/>
    </xf>
    <xf xfId="0" numFmtId="166" applyNumberFormat="1" borderId="3" applyBorder="1" fontId="2" applyFont="1" fillId="6" applyFill="1" applyAlignment="1">
      <alignment horizontal="right"/>
    </xf>
    <xf xfId="0" numFmtId="3" applyNumberFormat="1" borderId="2" applyBorder="1" fontId="6" applyFont="1" fillId="0" applyAlignment="1">
      <alignment horizontal="right"/>
    </xf>
    <xf xfId="0" numFmtId="0" borderId="2" applyBorder="1" fontId="6" applyFont="1" fillId="0" applyAlignment="1">
      <alignment horizontal="left"/>
    </xf>
    <xf xfId="0" numFmtId="164" applyNumberFormat="1" borderId="2" applyBorder="1" fontId="6" applyFont="1" fillId="6" applyFill="1" applyAlignment="1">
      <alignment horizontal="right"/>
    </xf>
    <xf xfId="0" numFmtId="164" applyNumberFormat="1" borderId="2" applyBorder="1" fontId="6" applyFont="1" fillId="0" applyAlignment="1">
      <alignment horizontal="right"/>
    </xf>
    <xf xfId="0" numFmtId="165" applyNumberFormat="1" borderId="2" applyBorder="1" fontId="6" applyFont="1" fillId="0" applyAlignment="1">
      <alignment horizontal="right"/>
    </xf>
    <xf xfId="0" numFmtId="3" applyNumberFormat="1" borderId="2" applyBorder="1" fontId="6" applyFont="1" fillId="3" applyFill="1" applyAlignment="1">
      <alignment horizontal="left"/>
    </xf>
    <xf xfId="0" numFmtId="0" borderId="2" applyBorder="1" fontId="6" applyFont="1" fillId="3" applyFill="1" applyAlignment="1">
      <alignment horizontal="left"/>
    </xf>
    <xf xfId="0" numFmtId="164" applyNumberFormat="1" borderId="2" applyBorder="1" fontId="6" applyFont="1" fillId="3" applyFill="1" applyAlignment="1">
      <alignment horizontal="right"/>
    </xf>
    <xf xfId="0" numFmtId="165" applyNumberFormat="1" borderId="2" applyBorder="1" fontId="6" applyFont="1" fillId="3" applyFill="1" applyAlignment="1">
      <alignment horizontal="right"/>
    </xf>
    <xf xfId="0" numFmtId="0" borderId="1" applyBorder="1" fontId="6" applyFont="1" fillId="0" applyAlignment="1">
      <alignment horizontal="left"/>
    </xf>
    <xf xfId="0" numFmtId="164" applyNumberFormat="1" borderId="1" applyBorder="1" fontId="6" applyFont="1" fillId="0" applyAlignment="1">
      <alignment horizontal="right"/>
    </xf>
    <xf xfId="0" numFmtId="4" applyNumberFormat="1" borderId="1" applyBorder="1" fontId="6" applyFont="1" fillId="0" applyAlignment="1">
      <alignment horizontal="right"/>
    </xf>
    <xf xfId="0" numFmtId="0" borderId="1" applyBorder="1" fontId="9" applyFont="1" fillId="0" applyAlignment="1">
      <alignment horizontal="left"/>
    </xf>
    <xf xfId="0" numFmtId="4" applyNumberFormat="1" borderId="1" applyBorder="1" fontId="9" applyFont="1" fillId="0" applyAlignment="1">
      <alignment horizontal="right"/>
    </xf>
    <xf xfId="0" numFmtId="165" applyNumberFormat="1" borderId="1" applyBorder="1" fontId="6" applyFont="1" fillId="0" applyAlignment="1">
      <alignment horizontal="right"/>
    </xf>
    <xf xfId="0" numFmtId="165" applyNumberFormat="1" borderId="1" applyBorder="1" fontId="9" applyFont="1" fillId="0" applyAlignment="1">
      <alignment horizontal="right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left"/>
    </xf>
    <xf xfId="0" numFmtId="0" borderId="0" fontId="0" fillId="0" applyAlignment="1">
      <alignment horizontal="general"/>
    </xf>
    <xf xfId="0" numFmtId="164" applyNumberFormat="1" borderId="0" fontId="0" fillId="0" applyAlignment="1">
      <alignment horizontal="right"/>
    </xf>
    <xf xfId="0" numFmtId="164" applyNumberFormat="1" borderId="0" fontId="0" fillId="0" applyAlignment="1">
      <alignment horizontal="general"/>
    </xf>
    <xf xfId="0" numFmtId="165" applyNumberFormat="1" borderId="0" fontId="0" fillId="0" applyAlignment="1">
      <alignment horizontal="general"/>
    </xf>
    <xf xfId="0" numFmtId="166" applyNumberFormat="1" borderId="0" fontId="0" fillId="0" applyAlignment="1">
      <alignment horizontal="general"/>
    </xf>
    <xf xfId="0" numFmtId="164" applyNumberFormat="1" borderId="3" applyBorder="1" fontId="10" applyFont="1" fillId="7" applyFill="1" applyAlignment="1">
      <alignment horizontal="left" wrapText="1"/>
    </xf>
    <xf xfId="0" numFmtId="165" applyNumberFormat="1" borderId="1" applyBorder="1" fontId="2" applyFont="1" fillId="0" applyAlignment="1">
      <alignment horizontal="left"/>
    </xf>
    <xf xfId="0" numFmtId="0" borderId="1" applyBorder="1" fontId="2" applyFont="1" fillId="0" applyAlignment="1">
      <alignment horizontal="left"/>
    </xf>
    <xf xfId="0" numFmtId="0" borderId="1" applyBorder="1" fontId="2" applyFont="1" fillId="0" applyAlignment="1">
      <alignment horizontal="left" wrapText="1"/>
    </xf>
    <xf xfId="0" numFmtId="164" applyNumberFormat="1" borderId="1" applyBorder="1" fontId="6" applyFont="1" fillId="0" applyAlignment="1">
      <alignment horizontal="left" wrapText="1"/>
    </xf>
    <xf xfId="0" numFmtId="164" applyNumberFormat="1" borderId="4" applyBorder="1" fontId="6" applyFont="1" fillId="8" applyFill="1" applyAlignment="1">
      <alignment horizontal="left" wrapText="1"/>
    </xf>
    <xf xfId="0" numFmtId="165" applyNumberFormat="1" borderId="5" applyBorder="1" fontId="2" applyFont="1" fillId="0" applyAlignment="1">
      <alignment horizontal="left"/>
    </xf>
    <xf xfId="0" numFmtId="0" borderId="6" applyBorder="1" fontId="2" applyFont="1" fillId="0" applyAlignment="1">
      <alignment horizontal="left"/>
    </xf>
    <xf xfId="0" numFmtId="0" borderId="0" fontId="0" fillId="0" applyAlignment="1">
      <alignment wrapText="1"/>
    </xf>
    <xf xfId="0" numFmtId="164" applyNumberFormat="1" borderId="4" applyBorder="1" fontId="4" applyFont="1" fillId="2" applyFill="1" applyAlignment="1">
      <alignment horizontal="center" wrapText="1"/>
    </xf>
    <xf xfId="0" numFmtId="165" applyNumberFormat="1" borderId="4" applyBorder="1" fontId="4" applyFont="1" fillId="2" applyFill="1" applyAlignment="1">
      <alignment horizontal="center" wrapText="1"/>
    </xf>
    <xf xfId="0" numFmtId="0" borderId="1" applyBorder="1" fontId="6" applyFont="1" fillId="0" applyAlignment="1">
      <alignment horizontal="left" wrapText="1"/>
    </xf>
    <xf xfId="0" numFmtId="164" applyNumberFormat="1" borderId="4" applyBorder="1" fontId="11" applyFont="1" fillId="6" applyFill="1" applyAlignment="1">
      <alignment horizontal="center" wrapText="1"/>
    </xf>
    <xf xfId="0" numFmtId="3" applyNumberFormat="1" borderId="4" applyBorder="1" fontId="6" applyFont="1" fillId="0" applyAlignment="1">
      <alignment horizontal="right"/>
    </xf>
    <xf xfId="0" numFmtId="165" applyNumberFormat="1" borderId="1" applyBorder="1" fontId="6" applyFont="1" fillId="0" applyAlignment="1">
      <alignment horizontal="right" wrapText="1"/>
    </xf>
    <xf xfId="0" numFmtId="164" applyNumberFormat="1" borderId="4" applyBorder="1" fontId="6" applyFont="1" fillId="0" applyAlignment="1">
      <alignment horizontal="center" wrapText="1"/>
    </xf>
    <xf xfId="0" numFmtId="165" applyNumberFormat="1" borderId="4" applyBorder="1" fontId="6" applyFont="1" fillId="0" applyAlignment="1">
      <alignment horizontal="center" wrapText="1"/>
    </xf>
    <xf xfId="0" numFmtId="164" applyNumberFormat="1" borderId="1" applyBorder="1" fontId="3" applyFont="1" fillId="0" applyAlignment="1">
      <alignment horizontal="left" wrapText="1"/>
    </xf>
    <xf xfId="0" numFmtId="165" applyNumberFormat="1" borderId="0" fontId="0" fillId="0" applyAlignment="1">
      <alignment horizontal="general" wrapText="1"/>
    </xf>
    <xf xfId="0" numFmtId="0" borderId="0" fontId="0" fillId="0" applyAlignment="1">
      <alignment horizontal="general" wrapText="1"/>
    </xf>
    <xf xfId="0" numFmtId="164" applyNumberFormat="1" borderId="0" fontId="0" fillId="0" applyAlignment="1">
      <alignment horizontal="left" wrapText="1"/>
    </xf>
    <xf xfId="0" numFmtId="0" borderId="0" fontId="0" fillId="0" applyAlignment="1">
      <alignment horizontal="general" wrapText="1"/>
    </xf>
    <xf xfId="0" numFmtId="0" borderId="0" fontId="0" fillId="0" applyAlignment="1">
      <alignment horizontal="left" wrapText="1"/>
    </xf>
    <xf xfId="0" numFmtId="0" borderId="3" applyBorder="1" fontId="10" applyFont="1" fillId="7" applyFill="1" applyAlignment="1">
      <alignment horizontal="left" wrapText="1"/>
    </xf>
    <xf xfId="0" numFmtId="0" borderId="4" applyBorder="1" fontId="4" applyFont="1" fillId="2" applyFill="1" applyAlignment="1">
      <alignment horizontal="center" wrapText="1"/>
    </xf>
    <xf xfId="0" numFmtId="0" borderId="4" applyBorder="1" fontId="6" applyFont="1" fillId="0" applyAlignment="1">
      <alignment horizontal="left" wrapText="1"/>
    </xf>
    <xf xfId="0" numFmtId="164" applyNumberFormat="1" borderId="4" applyBorder="1" fontId="6" applyFont="1" fillId="9" applyFill="1" applyAlignment="1">
      <alignment horizontal="right"/>
    </xf>
    <xf xfId="0" numFmtId="0" borderId="4" applyBorder="1" fontId="6" applyFont="1" fillId="0" applyAlignment="1">
      <alignment horizontal="center" wrapText="1"/>
    </xf>
    <xf xfId="0" numFmtId="0" borderId="4" applyBorder="1" fontId="3" applyFont="1" fillId="0" applyAlignment="1">
      <alignment horizontal="left" wrapText="1"/>
    </xf>
    <xf xfId="0" numFmtId="165" applyNumberFormat="1" borderId="4" applyBorder="1" fontId="6" applyFont="1" fillId="9" applyFill="1" applyAlignment="1">
      <alignment horizontal="right"/>
    </xf>
    <xf xfId="0" numFmtId="165" applyNumberFormat="1" borderId="4" applyBorder="1" fontId="6" applyFont="1" fillId="0" applyAlignment="1">
      <alignment horizontal="right"/>
    </xf>
    <xf xfId="0" numFmtId="4" applyNumberFormat="1" borderId="4" applyBorder="1" fontId="6" applyFont="1" fillId="9" applyFill="1" applyAlignment="1">
      <alignment horizontal="right"/>
    </xf>
    <xf xfId="0" numFmtId="0" borderId="4" applyBorder="1" fontId="1" applyFont="1" fillId="0" applyAlignment="1">
      <alignment horizontal="left" wrapText="1"/>
    </xf>
    <xf xfId="0" numFmtId="0" borderId="4" applyBorder="1" fontId="12" applyFont="1" fillId="10" applyFill="1" applyAlignment="1">
      <alignment horizontal="center" wrapText="1"/>
    </xf>
    <xf xfId="0" numFmtId="0" borderId="1" applyBorder="1" fontId="6" applyFont="1" fillId="0" applyAlignment="1">
      <alignment horizontal="left"/>
    </xf>
    <xf xfId="0" numFmtId="0" borderId="4" applyBorder="1" fontId="6" applyFont="1" fillId="8" applyFill="1" applyAlignment="1">
      <alignment horizontal="left" wrapText="1"/>
    </xf>
    <xf xfId="0" numFmtId="0" borderId="4" applyBorder="1" fontId="6" applyFont="1" fillId="8" applyFill="1" applyAlignment="1">
      <alignment horizontal="left"/>
    </xf>
    <xf xfId="0" numFmtId="0" borderId="1" applyBorder="1" fontId="2" applyFont="1" fillId="0" applyAlignment="1">
      <alignment horizontal="left" wrapText="1"/>
    </xf>
    <xf xfId="0" numFmtId="0" borderId="1" applyBorder="1" fontId="3" applyFont="1" fillId="0" applyAlignment="1">
      <alignment horizontal="left" wrapText="1"/>
    </xf>
    <xf xfId="0" numFmtId="0" borderId="1" applyBorder="1" fontId="6" applyFont="1" fillId="0" applyAlignment="1">
      <alignment horizontal="right"/>
    </xf>
    <xf xfId="0" numFmtId="0" borderId="1" applyBorder="1" fontId="6" applyFont="1" fillId="0" applyAlignment="1">
      <alignment horizontal="center"/>
    </xf>
    <xf xfId="0" numFmtId="1" applyNumberFormat="1" borderId="4" applyBorder="1" fontId="6" applyFont="1" fillId="9" applyFill="1" applyAlignment="1">
      <alignment horizontal="right"/>
    </xf>
    <xf xfId="0" numFmtId="0" borderId="0" fontId="0" fillId="0" applyAlignment="1">
      <alignment horizontal="right"/>
    </xf>
    <xf xfId="0" numFmtId="0" borderId="0" fontId="0" fillId="0" applyAlignment="1">
      <alignment horizontal="center"/>
    </xf>
    <xf xfId="0" numFmtId="3" applyNumberFormat="1" borderId="1" applyBorder="1" fontId="2" applyFont="1" fillId="0" applyAlignment="1">
      <alignment horizontal="left"/>
    </xf>
    <xf xfId="0" numFmtId="3" applyNumberFormat="1" borderId="1" applyBorder="1" fontId="6" applyFont="1" fillId="0" applyAlignment="1">
      <alignment horizontal="right"/>
    </xf>
    <xf xfId="0" numFmtId="3" applyNumberFormat="1" borderId="4" applyBorder="1" fontId="4" applyFont="1" fillId="2" applyFill="1" applyAlignment="1">
      <alignment horizontal="center" wrapText="1"/>
    </xf>
    <xf xfId="0" numFmtId="3" applyNumberFormat="1" borderId="4" applyBorder="1" fontId="3" applyFont="1" fillId="0" applyAlignment="1">
      <alignment horizontal="center" wrapText="1"/>
    </xf>
    <xf xfId="0" numFmtId="165" applyNumberFormat="1" borderId="4" applyBorder="1" fontId="3" applyFont="1" fillId="0" applyAlignment="1">
      <alignment horizontal="right"/>
    </xf>
    <xf xfId="0" numFmtId="164" applyNumberFormat="1" borderId="4" applyBorder="1" fontId="6" applyFont="1" fillId="0" applyAlignment="1">
      <alignment horizontal="right"/>
    </xf>
    <xf xfId="0" numFmtId="3" applyNumberFormat="1" borderId="0" fontId="0" fillId="0" applyAlignment="1">
      <alignment horizontal="general" wrapText="1"/>
    </xf>
    <xf xfId="0" numFmtId="165" applyNumberFormat="1" borderId="4" applyBorder="1" fontId="6" applyFont="1" fillId="8" applyFill="1" applyAlignment="1">
      <alignment horizontal="left"/>
    </xf>
    <xf xfId="0" numFmtId="3" applyNumberFormat="1" borderId="4" applyBorder="1" fontId="11" applyFont="1" fillId="6" applyFill="1" applyAlignment="1">
      <alignment horizontal="right"/>
    </xf>
    <xf xfId="0" numFmtId="165" applyNumberFormat="1" borderId="4" applyBorder="1" fontId="3" applyFont="1" fillId="0" applyAlignment="1">
      <alignment horizontal="left" wrapText="1"/>
    </xf>
    <xf xfId="0" numFmtId="4" applyNumberFormat="1" borderId="4" applyBorder="1" fontId="11" applyFont="1" fillId="6" applyFill="1" applyAlignment="1">
      <alignment horizontal="right"/>
    </xf>
    <xf xfId="0" numFmtId="165" applyNumberFormat="1" borderId="4" applyBorder="1" fontId="11" applyFont="1" fillId="6" applyFill="1" applyAlignment="1">
      <alignment horizontal="right"/>
    </xf>
    <xf xfId="0" numFmtId="165" applyNumberFormat="1" borderId="4" applyBorder="1" fontId="13" applyFont="1" fillId="0" applyAlignment="1">
      <alignment horizontal="center" wrapText="1"/>
    </xf>
    <xf xfId="0" numFmtId="164" applyNumberFormat="1" borderId="4" applyBorder="1" fontId="11" applyFont="1" fillId="6" applyFill="1" applyAlignment="1">
      <alignment horizontal="right"/>
    </xf>
    <xf xfId="0" numFmtId="165" applyNumberFormat="1" borderId="3" applyBorder="1" fontId="6" applyFont="1" fillId="6" applyFill="1" applyAlignment="1">
      <alignment horizontal="right"/>
    </xf>
    <xf xfId="0" numFmtId="1" applyNumberFormat="1" borderId="4" applyBorder="1" fontId="11" applyFont="1" fillId="6" applyFill="1" applyAlignment="1">
      <alignment horizontal="right"/>
    </xf>
    <xf xfId="0" numFmtId="0" borderId="4" applyBorder="1" fontId="11" applyFont="1" fillId="6" applyFill="1" applyAlignment="1">
      <alignment horizontal="left" wrapText="1"/>
    </xf>
    <xf xfId="0" numFmtId="165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sharedStrings.xml" Type="http://schemas.openxmlformats.org/officeDocument/2006/relationships/sharedStrings" Id="rId7"/><Relationship Target="styles.xml" Type="http://schemas.openxmlformats.org/officeDocument/2006/relationships/styles" Id="rId8"/><Relationship Target="theme/theme1.xml" Type="http://schemas.openxmlformats.org/officeDocument/2006/relationships/theme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31"/>
  <sheetViews>
    <sheetView workbookViewId="0">
      <pane state="frozen" activePane="bottomLeft" topLeftCell="A3" ySplit="2" xSplit="0"/>
    </sheetView>
  </sheetViews>
  <sheetFormatPr defaultRowHeight="15" x14ac:dyDescent="0.25"/>
  <cols>
    <col min="1" max="1" style="74" width="34.005" customWidth="1" bestFit="1"/>
    <col min="2" max="2" style="113" width="14.005" customWidth="1" bestFit="1"/>
    <col min="3" max="3" style="113" width="10.005" customWidth="1" bestFit="1"/>
    <col min="4" max="4" style="113" width="8.005" customWidth="1" bestFit="1"/>
    <col min="5" max="5" style="113" width="48.005" customWidth="1" bestFit="1"/>
    <col min="6" max="6" style="113" width="12.43357142857143" customWidth="1" bestFit="1"/>
    <col min="7" max="7" style="73" width="12.43357142857143" customWidth="1" bestFit="1"/>
    <col min="8" max="8" style="74" width="12.43357142857143" customWidth="1" bestFit="1"/>
  </cols>
  <sheetData>
    <row x14ac:dyDescent="0.25" r="1" customHeight="1" ht="26">
      <c r="A1" s="75" t="s">
        <v>144</v>
      </c>
      <c r="B1" s="53"/>
      <c r="C1" s="53"/>
      <c r="D1" s="53"/>
      <c r="E1" s="53"/>
      <c r="F1" s="53"/>
      <c r="G1" s="55"/>
      <c r="H1" s="63"/>
    </row>
    <row x14ac:dyDescent="0.25" r="2" customHeight="1" ht="17.25">
      <c r="A2" s="63"/>
      <c r="B2" s="43"/>
      <c r="C2" s="43"/>
      <c r="D2" s="43"/>
      <c r="E2" s="43"/>
      <c r="F2" s="43"/>
      <c r="G2" s="55"/>
      <c r="H2" s="63"/>
    </row>
    <row x14ac:dyDescent="0.25" r="3" customHeight="1" ht="23.25" customFormat="1" s="60">
      <c r="A3" s="76" t="s">
        <v>74</v>
      </c>
      <c r="B3" s="62" t="s">
        <v>75</v>
      </c>
      <c r="C3" s="62" t="s">
        <v>76</v>
      </c>
      <c r="D3" s="62" t="s">
        <v>145</v>
      </c>
      <c r="E3" s="62" t="s">
        <v>146</v>
      </c>
      <c r="F3" s="66"/>
      <c r="G3" s="63"/>
      <c r="H3" s="63"/>
    </row>
    <row x14ac:dyDescent="0.25" r="4" customHeight="1" ht="23.25">
      <c r="A4" s="87" t="s">
        <v>147</v>
      </c>
      <c r="B4" s="103"/>
      <c r="C4" s="103"/>
      <c r="D4" s="103"/>
      <c r="E4" s="103"/>
      <c r="F4" s="43"/>
      <c r="G4" s="55"/>
      <c r="H4" s="63"/>
    </row>
    <row x14ac:dyDescent="0.25" r="5" customHeight="1" ht="23.25">
      <c r="A5" s="77" t="s">
        <v>148</v>
      </c>
      <c r="B5" s="104">
        <v>150</v>
      </c>
      <c r="C5" s="68" t="s">
        <v>79</v>
      </c>
      <c r="D5" s="68"/>
      <c r="E5" s="105" t="s">
        <v>149</v>
      </c>
      <c r="F5" s="43"/>
      <c r="G5" s="55"/>
      <c r="H5" s="63"/>
    </row>
    <row x14ac:dyDescent="0.25" r="6" customHeight="1" ht="23.25">
      <c r="A6" s="77" t="s">
        <v>150</v>
      </c>
      <c r="B6" s="106">
        <v>0.02</v>
      </c>
      <c r="C6" s="68" t="s">
        <v>151</v>
      </c>
      <c r="D6" s="68"/>
      <c r="E6" s="105" t="s">
        <v>152</v>
      </c>
      <c r="F6" s="43"/>
      <c r="G6" s="55"/>
      <c r="H6" s="63"/>
    </row>
    <row x14ac:dyDescent="0.25" r="7" customHeight="1" ht="23.25">
      <c r="A7" s="77" t="s">
        <v>153</v>
      </c>
      <c r="B7" s="107">
        <v>0.2</v>
      </c>
      <c r="C7" s="68"/>
      <c r="D7" s="68"/>
      <c r="E7" s="105" t="s">
        <v>154</v>
      </c>
      <c r="F7" s="43"/>
      <c r="G7" s="55"/>
      <c r="H7" s="63"/>
    </row>
    <row x14ac:dyDescent="0.25" r="8" customHeight="1" ht="23.25">
      <c r="A8" s="77" t="s">
        <v>155</v>
      </c>
      <c r="B8" s="104">
        <v>10</v>
      </c>
      <c r="C8" s="68" t="s">
        <v>120</v>
      </c>
      <c r="D8" s="68"/>
      <c r="E8" s="105" t="s">
        <v>156</v>
      </c>
      <c r="F8" s="43"/>
      <c r="G8" s="55"/>
      <c r="H8" s="63"/>
    </row>
    <row x14ac:dyDescent="0.25" r="9" customHeight="1" ht="33">
      <c r="A9" s="77" t="s">
        <v>157</v>
      </c>
      <c r="B9" s="78">
        <f>B5*(1-B6*8.3)</f>
      </c>
      <c r="C9" s="68" t="s">
        <v>79</v>
      </c>
      <c r="D9" s="108" t="s">
        <v>145</v>
      </c>
      <c r="E9" s="105" t="s">
        <v>158</v>
      </c>
      <c r="F9" s="43"/>
      <c r="G9" s="55"/>
      <c r="H9" s="63"/>
    </row>
    <row x14ac:dyDescent="0.25" r="10" customHeight="1" ht="23.25">
      <c r="A10" s="77" t="s">
        <v>102</v>
      </c>
      <c r="B10" s="104">
        <v>150</v>
      </c>
      <c r="C10" s="68" t="s">
        <v>79</v>
      </c>
      <c r="D10" s="68"/>
      <c r="E10" s="105" t="s">
        <v>159</v>
      </c>
      <c r="F10" s="43"/>
      <c r="G10" s="55"/>
      <c r="H10" s="63"/>
    </row>
    <row x14ac:dyDescent="0.25" r="11" customHeight="1" ht="23.25">
      <c r="A11" s="77" t="s">
        <v>160</v>
      </c>
      <c r="B11" s="106">
        <v>3</v>
      </c>
      <c r="C11" s="68" t="s">
        <v>98</v>
      </c>
      <c r="D11" s="68"/>
      <c r="E11" s="105" t="s">
        <v>161</v>
      </c>
      <c r="F11" s="43"/>
      <c r="G11" s="55"/>
      <c r="H11" s="63"/>
    </row>
    <row x14ac:dyDescent="0.25" r="12" customHeight="1" ht="23.25">
      <c r="A12" s="77" t="s">
        <v>162</v>
      </c>
      <c r="B12" s="109">
        <v>5.5</v>
      </c>
      <c r="C12" s="68" t="s">
        <v>79</v>
      </c>
      <c r="D12" s="68"/>
      <c r="E12" s="105" t="s">
        <v>78</v>
      </c>
      <c r="F12" s="43"/>
      <c r="G12" s="55"/>
      <c r="H12" s="63"/>
    </row>
    <row x14ac:dyDescent="0.25" r="13" customHeight="1" ht="23.25">
      <c r="A13" s="77" t="s">
        <v>163</v>
      </c>
      <c r="B13" s="107">
        <v>0.13</v>
      </c>
      <c r="C13" s="68"/>
      <c r="D13" s="68"/>
      <c r="E13" s="105" t="s">
        <v>164</v>
      </c>
      <c r="F13" s="43"/>
      <c r="G13" s="55"/>
      <c r="H13" s="63"/>
    </row>
    <row x14ac:dyDescent="0.25" r="14" customHeight="1" ht="23.25">
      <c r="A14" s="77" t="s">
        <v>165</v>
      </c>
      <c r="B14" s="78">
        <f>B5*B13</f>
      </c>
      <c r="C14" s="68" t="s">
        <v>79</v>
      </c>
      <c r="D14" s="68"/>
      <c r="E14" s="105" t="s">
        <v>166</v>
      </c>
      <c r="F14" s="43"/>
      <c r="G14" s="55"/>
      <c r="H14" s="63"/>
    </row>
    <row x14ac:dyDescent="0.25" r="15" customHeight="1" ht="40.5">
      <c r="A15" s="77" t="s">
        <v>167</v>
      </c>
      <c r="B15" s="107">
        <v>0.45</v>
      </c>
      <c r="C15" s="68"/>
      <c r="D15" s="68"/>
      <c r="E15" s="105" t="s">
        <v>168</v>
      </c>
      <c r="F15" s="43"/>
      <c r="G15" s="55"/>
      <c r="H15" s="63"/>
    </row>
    <row x14ac:dyDescent="0.25" r="16" customHeight="1" ht="40.5">
      <c r="A16" s="77" t="s">
        <v>169</v>
      </c>
      <c r="B16" s="107">
        <v>0.55</v>
      </c>
      <c r="C16" s="68"/>
      <c r="D16" s="68"/>
      <c r="E16" s="105" t="s">
        <v>168</v>
      </c>
      <c r="F16" s="43"/>
      <c r="G16" s="55"/>
      <c r="H16" s="63"/>
    </row>
    <row x14ac:dyDescent="0.25" r="17" customHeight="1" ht="24">
      <c r="A17" s="77" t="s">
        <v>85</v>
      </c>
      <c r="B17" s="107">
        <v>0.15</v>
      </c>
      <c r="C17" s="68"/>
      <c r="D17" s="68"/>
      <c r="E17" s="105" t="s">
        <v>170</v>
      </c>
      <c r="F17" s="43"/>
      <c r="G17" s="55"/>
      <c r="H17" s="63"/>
    </row>
    <row x14ac:dyDescent="0.25" r="18" customHeight="1" ht="39.75">
      <c r="A18" s="63" t="s">
        <v>171</v>
      </c>
      <c r="B18" s="110">
        <f>B12+11</f>
      </c>
      <c r="C18" s="43" t="s">
        <v>79</v>
      </c>
      <c r="D18" s="43" t="s">
        <v>145</v>
      </c>
      <c r="E18" s="43"/>
      <c r="F18" s="43"/>
      <c r="G18" s="55"/>
      <c r="H18" s="63"/>
    </row>
    <row x14ac:dyDescent="0.25" r="19" customHeight="1" ht="40.5">
      <c r="A19" s="87" t="s">
        <v>172</v>
      </c>
      <c r="B19" s="103"/>
      <c r="C19" s="103"/>
      <c r="D19" s="103"/>
      <c r="E19" s="103"/>
      <c r="F19" s="43"/>
      <c r="G19" s="55"/>
      <c r="H19" s="63"/>
    </row>
    <row x14ac:dyDescent="0.25" r="20" customHeight="1" ht="33">
      <c r="A20" s="77" t="s">
        <v>173</v>
      </c>
      <c r="B20" s="109">
        <v>31</v>
      </c>
      <c r="C20" s="68" t="s">
        <v>79</v>
      </c>
      <c r="D20" s="108" t="s">
        <v>145</v>
      </c>
      <c r="E20" s="105" t="s">
        <v>174</v>
      </c>
      <c r="F20" s="43"/>
      <c r="G20" s="55"/>
      <c r="H20" s="63"/>
    </row>
    <row x14ac:dyDescent="0.25" r="21" customHeight="1" ht="23.25">
      <c r="A21" s="77" t="s">
        <v>175</v>
      </c>
      <c r="B21" s="78">
        <f>B12</f>
      </c>
      <c r="C21" s="68" t="s">
        <v>79</v>
      </c>
      <c r="D21" s="68"/>
      <c r="E21" s="105" t="s">
        <v>176</v>
      </c>
      <c r="F21" s="43"/>
      <c r="G21" s="55"/>
      <c r="H21" s="63"/>
    </row>
    <row x14ac:dyDescent="0.25" r="22" customHeight="1" ht="46.5">
      <c r="A22" s="77" t="s">
        <v>177</v>
      </c>
      <c r="B22" s="109">
        <v>17</v>
      </c>
      <c r="C22" s="68" t="s">
        <v>125</v>
      </c>
      <c r="D22" s="108" t="s">
        <v>145</v>
      </c>
      <c r="E22" s="105" t="s">
        <v>178</v>
      </c>
      <c r="F22" s="43"/>
      <c r="G22" s="55"/>
      <c r="H22" s="63"/>
    </row>
    <row x14ac:dyDescent="0.25" r="23" customHeight="1" ht="23.25">
      <c r="A23" s="77" t="s">
        <v>89</v>
      </c>
      <c r="B23" s="107">
        <v>0.12</v>
      </c>
      <c r="C23" s="68"/>
      <c r="D23" s="108" t="s">
        <v>145</v>
      </c>
      <c r="E23" s="105" t="s">
        <v>179</v>
      </c>
      <c r="F23" s="43"/>
      <c r="G23" s="55"/>
      <c r="H23" s="63"/>
    </row>
    <row x14ac:dyDescent="0.25" r="24" customHeight="1" ht="23.25">
      <c r="A24" s="77" t="s">
        <v>119</v>
      </c>
      <c r="B24" s="111">
        <v>2032</v>
      </c>
      <c r="C24" s="68" t="s">
        <v>120</v>
      </c>
      <c r="D24" s="108" t="s">
        <v>145</v>
      </c>
      <c r="E24" s="105" t="s">
        <v>180</v>
      </c>
      <c r="F24" s="43"/>
      <c r="G24" s="55"/>
      <c r="H24" s="63"/>
    </row>
    <row x14ac:dyDescent="0.25" r="25" customHeight="1" ht="33">
      <c r="A25" s="77" t="s">
        <v>181</v>
      </c>
      <c r="B25" s="107">
        <v>0.09</v>
      </c>
      <c r="C25" s="68"/>
      <c r="D25" s="108" t="s">
        <v>145</v>
      </c>
      <c r="E25" s="105" t="s">
        <v>182</v>
      </c>
      <c r="F25" s="43"/>
      <c r="G25" s="55"/>
      <c r="H25" s="63"/>
    </row>
    <row x14ac:dyDescent="0.25" r="26" customHeight="1" ht="24">
      <c r="A26" s="77" t="s">
        <v>183</v>
      </c>
      <c r="B26" s="107">
        <v>0.3</v>
      </c>
      <c r="C26" s="68"/>
      <c r="D26" s="108" t="s">
        <v>145</v>
      </c>
      <c r="E26" s="105" t="s">
        <v>184</v>
      </c>
      <c r="F26" s="43"/>
      <c r="G26" s="55"/>
      <c r="H26" s="63"/>
    </row>
    <row x14ac:dyDescent="0.25" r="27" customHeight="1" ht="23.25">
      <c r="A27" s="63"/>
      <c r="B27" s="43"/>
      <c r="C27" s="43"/>
      <c r="D27" s="43"/>
      <c r="E27" s="43"/>
      <c r="F27" s="43"/>
      <c r="G27" s="55"/>
      <c r="H27" s="63"/>
    </row>
    <row x14ac:dyDescent="0.25" r="28" customHeight="1" ht="40.5">
      <c r="A28" s="87" t="s">
        <v>185</v>
      </c>
      <c r="B28" s="103"/>
      <c r="C28" s="103"/>
      <c r="D28" s="103"/>
      <c r="E28" s="103"/>
      <c r="F28" s="43"/>
      <c r="G28" s="55"/>
      <c r="H28" s="63"/>
    </row>
    <row x14ac:dyDescent="0.25" r="29" customHeight="1" ht="23.25" customFormat="1" s="60">
      <c r="A29" s="76" t="s">
        <v>186</v>
      </c>
      <c r="B29" s="98">
        <v>2026</v>
      </c>
      <c r="C29" s="98">
        <v>2027</v>
      </c>
      <c r="D29" s="98">
        <v>2028</v>
      </c>
      <c r="E29" s="98">
        <v>2029</v>
      </c>
      <c r="F29" s="98">
        <v>2030</v>
      </c>
      <c r="G29" s="63"/>
      <c r="H29" s="63"/>
    </row>
    <row x14ac:dyDescent="0.25" r="30" customHeight="1" ht="17.25">
      <c r="A30" s="112" t="s">
        <v>187</v>
      </c>
      <c r="B30" s="104">
        <v>4</v>
      </c>
      <c r="C30" s="104">
        <v>10</v>
      </c>
      <c r="D30" s="104">
        <v>22</v>
      </c>
      <c r="E30" s="104">
        <v>45</v>
      </c>
      <c r="F30" s="104">
        <v>85</v>
      </c>
      <c r="G30" s="55"/>
      <c r="H30" s="90" t="s">
        <v>188</v>
      </c>
    </row>
    <row x14ac:dyDescent="0.25" r="31" customHeight="1" ht="17.25">
      <c r="A31" s="112" t="s">
        <v>189</v>
      </c>
      <c r="B31" s="107">
        <v>0.6</v>
      </c>
      <c r="C31" s="107">
        <v>0.63</v>
      </c>
      <c r="D31" s="107">
        <v>0.66</v>
      </c>
      <c r="E31" s="107">
        <v>0.69</v>
      </c>
      <c r="F31" s="107">
        <v>0.72</v>
      </c>
      <c r="G31" s="55"/>
      <c r="H31" s="90" t="s">
        <v>190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11"/>
  <sheetViews>
    <sheetView workbookViewId="0" tabSelected="1">
      <pane state="frozen" activePane="bottomLeft" topLeftCell="A4" ySplit="3" xSplit="0"/>
    </sheetView>
  </sheetViews>
  <sheetFormatPr defaultRowHeight="15" x14ac:dyDescent="0.25"/>
  <cols>
    <col min="1" max="1" style="74" width="26.005" customWidth="1" bestFit="1"/>
    <col min="2" max="2" style="45" width="12.005" customWidth="1" bestFit="1"/>
    <col min="3" max="3" style="45" width="12.005" customWidth="1" bestFit="1"/>
    <col min="4" max="4" style="45" width="12.005" customWidth="1" bestFit="1"/>
    <col min="5" max="5" style="45" width="12.005" customWidth="1" bestFit="1"/>
    <col min="6" max="6" style="45" width="12.005" customWidth="1" bestFit="1"/>
    <col min="7" max="7" style="45" width="12.005" customWidth="1" bestFit="1"/>
    <col min="8" max="8" style="45" width="12.005" customWidth="1" bestFit="1"/>
    <col min="9" max="9" style="73" width="12.43357142857143" customWidth="1" bestFit="1"/>
  </cols>
  <sheetData>
    <row x14ac:dyDescent="0.25" r="1" customHeight="1" ht="26">
      <c r="A1" s="75" t="s">
        <v>134</v>
      </c>
      <c r="B1" s="96"/>
      <c r="C1" s="96"/>
      <c r="D1" s="96"/>
      <c r="E1" s="96"/>
      <c r="F1" s="96"/>
      <c r="G1" s="96"/>
      <c r="H1" s="96"/>
      <c r="I1" s="55"/>
    </row>
    <row x14ac:dyDescent="0.25" r="2" customHeight="1" ht="17.25">
      <c r="A2" s="63"/>
      <c r="B2" s="97"/>
      <c r="C2" s="97"/>
      <c r="D2" s="97"/>
      <c r="E2" s="97"/>
      <c r="F2" s="97"/>
      <c r="G2" s="97"/>
      <c r="H2" s="97"/>
      <c r="I2" s="55"/>
    </row>
    <row x14ac:dyDescent="0.25" r="3" customHeight="1" ht="17.25" customFormat="1" s="60">
      <c r="A3" s="76" t="s">
        <v>135</v>
      </c>
      <c r="B3" s="98">
        <v>2026</v>
      </c>
      <c r="C3" s="98">
        <v>2027</v>
      </c>
      <c r="D3" s="98">
        <v>2028</v>
      </c>
      <c r="E3" s="98">
        <v>2029</v>
      </c>
      <c r="F3" s="98">
        <v>2030</v>
      </c>
      <c r="G3" s="98">
        <v>2031</v>
      </c>
      <c r="H3" s="98">
        <v>2032</v>
      </c>
      <c r="I3" s="63"/>
    </row>
    <row x14ac:dyDescent="0.25" r="4" customHeight="1" ht="23.25">
      <c r="A4" s="77" t="s">
        <v>136</v>
      </c>
      <c r="B4" s="78">
        <f>&amp;#21069;&amp;#25552;!$B$30</f>
      </c>
      <c r="C4" s="78">
        <f>&amp;#21069;&amp;#25552;!$C$30</f>
      </c>
      <c r="D4" s="78">
        <f>&amp;#21069;&amp;#25552;!$D$30</f>
      </c>
      <c r="E4" s="78">
        <f>&amp;#21069;&amp;#25552;!$E$30</f>
      </c>
      <c r="F4" s="78">
        <f>&amp;#21069;&amp;#25552;!$F$30</f>
      </c>
      <c r="G4" s="78">
        <f>F4*(1+&amp;#21069;&amp;#25552;!$B$25)</f>
      </c>
      <c r="H4" s="78">
        <f>G4*(1+&amp;#21069;&amp;#25552;!$B$25)</f>
      </c>
      <c r="I4" s="55"/>
    </row>
    <row x14ac:dyDescent="0.25" r="5" customHeight="1" ht="19.5">
      <c r="A5" s="80" t="s">
        <v>137</v>
      </c>
      <c r="B5" s="99" t="s">
        <v>138</v>
      </c>
      <c r="C5" s="100">
        <f>C4/B4-1</f>
      </c>
      <c r="D5" s="100">
        <f>D4/C4-1</f>
      </c>
      <c r="E5" s="100">
        <f>E4/D4-1</f>
      </c>
      <c r="F5" s="100">
        <f>F4/E4-1</f>
      </c>
      <c r="G5" s="100">
        <f>G4/F4-1</f>
      </c>
      <c r="H5" s="100">
        <f>H4/G4-1</f>
      </c>
      <c r="I5" s="55"/>
    </row>
    <row x14ac:dyDescent="0.25" r="6" customHeight="1" ht="23.25">
      <c r="A6" s="77" t="s">
        <v>139</v>
      </c>
      <c r="B6" s="81">
        <f>&amp;#21069;&amp;#25552;!$B$31</f>
      </c>
      <c r="C6" s="81">
        <f>&amp;#21069;&amp;#25552;!$C$31</f>
      </c>
      <c r="D6" s="81">
        <f>&amp;#21069;&amp;#25552;!$D$31</f>
      </c>
      <c r="E6" s="81">
        <f>&amp;#21069;&amp;#25552;!$E$31</f>
      </c>
      <c r="F6" s="81">
        <f>&amp;#21069;&amp;#25552;!$F$31</f>
      </c>
      <c r="G6" s="81">
        <f>&amp;#21069;&amp;#25552;!$F$31</f>
      </c>
      <c r="H6" s="81">
        <f>&amp;#21069;&amp;#25552;!$F$31</f>
      </c>
      <c r="I6" s="55"/>
    </row>
    <row x14ac:dyDescent="0.25" r="7" customHeight="1" ht="23.25">
      <c r="A7" s="77" t="s">
        <v>140</v>
      </c>
      <c r="B7" s="78">
        <f>B4*B6</f>
      </c>
      <c r="C7" s="78">
        <f>C4*C6</f>
      </c>
      <c r="D7" s="78">
        <f>D4*D6</f>
      </c>
      <c r="E7" s="78">
        <f>E4*E6</f>
      </c>
      <c r="F7" s="78">
        <f>F4*F6</f>
      </c>
      <c r="G7" s="78">
        <f>G4*G6</f>
      </c>
      <c r="H7" s="78">
        <f>H4*H6</f>
      </c>
      <c r="I7" s="55"/>
    </row>
    <row x14ac:dyDescent="0.25" r="8" customHeight="1" ht="40.5">
      <c r="A8" s="77" t="s">
        <v>141</v>
      </c>
      <c r="B8" s="101">
        <f>B4*0.40</f>
      </c>
      <c r="C8" s="101">
        <f>C4*0.40</f>
      </c>
      <c r="D8" s="101">
        <f>D4*0.40</f>
      </c>
      <c r="E8" s="101">
        <f>E4*0.40</f>
      </c>
      <c r="F8" s="101">
        <f>F4*0.40</f>
      </c>
      <c r="G8" s="101">
        <f>G4*0.40</f>
      </c>
      <c r="H8" s="101">
        <f>H4*0.40</f>
      </c>
      <c r="I8" s="55"/>
    </row>
    <row x14ac:dyDescent="0.25" r="9" customHeight="1" ht="24">
      <c r="A9" s="77" t="s">
        <v>142</v>
      </c>
      <c r="B9" s="78">
        <f>B7-B8</f>
      </c>
      <c r="C9" s="78">
        <f>C7-C8</f>
      </c>
      <c r="D9" s="78">
        <f>D7-D8</f>
      </c>
      <c r="E9" s="78">
        <f>E7-E8</f>
      </c>
      <c r="F9" s="78">
        <f>F7-F8</f>
      </c>
      <c r="G9" s="78">
        <f>G7-G8</f>
      </c>
      <c r="H9" s="78">
        <f>H7-H8</f>
      </c>
      <c r="I9" s="55"/>
    </row>
    <row x14ac:dyDescent="0.25" r="10" customHeight="1" ht="17.25">
      <c r="A10" s="63"/>
      <c r="B10" s="97"/>
      <c r="C10" s="97"/>
      <c r="D10" s="97"/>
      <c r="E10" s="97"/>
      <c r="F10" s="97"/>
      <c r="G10" s="97"/>
      <c r="H10" s="97"/>
      <c r="I10" s="55"/>
    </row>
    <row x14ac:dyDescent="0.25" r="11" customHeight="1" ht="19.5" customFormat="1" s="60">
      <c r="A11" s="90" t="s">
        <v>143</v>
      </c>
      <c r="B11" s="102"/>
      <c r="C11" s="102"/>
      <c r="D11" s="102"/>
      <c r="E11" s="102"/>
      <c r="F11" s="102"/>
      <c r="G11" s="102"/>
      <c r="H11" s="102"/>
      <c r="I11" s="71"/>
    </row>
  </sheetData>
  <mergeCells count="2">
    <mergeCell ref="A1:I1"/>
    <mergeCell ref="A11:I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2"/>
  <sheetViews>
    <sheetView workbookViewId="0">
      <pane state="frozen" activePane="bottomLeft" topLeftCell="A3" ySplit="2" xSplit="0"/>
    </sheetView>
  </sheetViews>
  <sheetFormatPr defaultRowHeight="15" x14ac:dyDescent="0.25"/>
  <cols>
    <col min="1" max="1" style="74" width="30.005" customWidth="1" bestFit="1"/>
    <col min="2" max="2" style="94" width="16.005" customWidth="1" bestFit="1"/>
    <col min="3" max="3" style="95" width="16.005" customWidth="1" bestFit="1"/>
    <col min="4" max="4" style="46" width="16.005" customWidth="1" bestFit="1"/>
    <col min="5" max="5" style="73" width="16.005" customWidth="1" bestFit="1"/>
  </cols>
  <sheetData>
    <row x14ac:dyDescent="0.25" r="1" customHeight="1" ht="26">
      <c r="A1" s="75" t="s">
        <v>117</v>
      </c>
      <c r="B1" s="54"/>
      <c r="C1" s="54"/>
      <c r="D1" s="54"/>
      <c r="E1" s="55"/>
    </row>
    <row x14ac:dyDescent="0.25" r="2" customHeight="1" ht="17.25">
      <c r="A2" s="63"/>
      <c r="B2" s="91"/>
      <c r="C2" s="92"/>
      <c r="D2" s="38"/>
      <c r="E2" s="55"/>
    </row>
    <row x14ac:dyDescent="0.25" r="3" customHeight="1" ht="17.25" customFormat="1" s="60">
      <c r="A3" s="76" t="s">
        <v>74</v>
      </c>
      <c r="B3" s="76" t="s">
        <v>75</v>
      </c>
      <c r="C3" s="76" t="s">
        <v>76</v>
      </c>
      <c r="D3" s="76" t="s">
        <v>118</v>
      </c>
      <c r="E3" s="63"/>
    </row>
    <row x14ac:dyDescent="0.25" r="4" customHeight="1" ht="17.25">
      <c r="A4" s="77" t="s">
        <v>119</v>
      </c>
      <c r="B4" s="93">
        <f>&amp;#21069;&amp;#25552;!$B$24</f>
      </c>
      <c r="C4" s="79" t="s">
        <v>120</v>
      </c>
      <c r="D4" s="80" t="s">
        <v>121</v>
      </c>
      <c r="E4" s="55"/>
    </row>
    <row x14ac:dyDescent="0.25" r="5" customHeight="1" ht="17.25">
      <c r="A5" s="77" t="s">
        <v>122</v>
      </c>
      <c r="B5" s="78">
        <f>PL!H4</f>
      </c>
      <c r="C5" s="79" t="s">
        <v>79</v>
      </c>
      <c r="D5" s="80" t="s">
        <v>123</v>
      </c>
      <c r="E5" s="55"/>
    </row>
    <row x14ac:dyDescent="0.25" r="6" customHeight="1" ht="17.25">
      <c r="A6" s="77" t="s">
        <v>124</v>
      </c>
      <c r="B6" s="78">
        <f>&amp;#21069;&amp;#25552;!$B$22</f>
      </c>
      <c r="C6" s="79" t="s">
        <v>125</v>
      </c>
      <c r="D6" s="80" t="s">
        <v>126</v>
      </c>
      <c r="E6" s="55"/>
    </row>
    <row x14ac:dyDescent="0.25" r="7" customHeight="1" ht="17.25">
      <c r="A7" s="77" t="s">
        <v>93</v>
      </c>
      <c r="B7" s="78">
        <f>B5*B6</f>
      </c>
      <c r="C7" s="79" t="s">
        <v>79</v>
      </c>
      <c r="D7" s="80" t="s">
        <v>127</v>
      </c>
      <c r="E7" s="55"/>
    </row>
    <row x14ac:dyDescent="0.25" r="8" customHeight="1" ht="17.25">
      <c r="A8" s="63"/>
      <c r="B8" s="91"/>
      <c r="C8" s="92"/>
      <c r="D8" s="38"/>
      <c r="E8" s="55"/>
    </row>
    <row x14ac:dyDescent="0.25" r="9" customHeight="1" ht="17.25">
      <c r="A9" s="87" t="s">
        <v>128</v>
      </c>
      <c r="B9" s="88"/>
      <c r="C9" s="88"/>
      <c r="D9" s="88"/>
      <c r="E9" s="55"/>
    </row>
    <row x14ac:dyDescent="0.25" r="10" customHeight="1" ht="17.25">
      <c r="A10" s="77" t="s">
        <v>129</v>
      </c>
      <c r="B10" s="78">
        <f>B7</f>
      </c>
      <c r="C10" s="79" t="s">
        <v>79</v>
      </c>
      <c r="D10" s="80" t="s">
        <v>130</v>
      </c>
      <c r="E10" s="55"/>
    </row>
    <row x14ac:dyDescent="0.25" r="11" customHeight="1" ht="17.25">
      <c r="A11" s="77" t="s">
        <v>131</v>
      </c>
      <c r="B11" s="78">
        <f>B7</f>
      </c>
      <c r="C11" s="79" t="s">
        <v>79</v>
      </c>
      <c r="D11" s="80" t="s">
        <v>130</v>
      </c>
      <c r="E11" s="55"/>
    </row>
    <row x14ac:dyDescent="0.25" r="12" customHeight="1" ht="17.25">
      <c r="A12" s="77" t="s">
        <v>132</v>
      </c>
      <c r="B12" s="78">
        <f>B7*(1-&amp;#21069;&amp;#25552;!$B$26)</f>
      </c>
      <c r="C12" s="79" t="s">
        <v>79</v>
      </c>
      <c r="D12" s="80" t="s">
        <v>133</v>
      </c>
      <c r="E12" s="55"/>
    </row>
  </sheetData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23"/>
  <sheetViews>
    <sheetView workbookViewId="0">
      <pane state="frozen" activePane="bottomLeft" topLeftCell="A3" ySplit="2" xSplit="0"/>
    </sheetView>
  </sheetViews>
  <sheetFormatPr defaultRowHeight="15" x14ac:dyDescent="0.25"/>
  <cols>
    <col min="1" max="1" style="74" width="32.005" customWidth="1" bestFit="1"/>
    <col min="2" max="2" style="47" width="18.005" customWidth="1" bestFit="1"/>
    <col min="3" max="3" style="47" width="18.005" customWidth="1" bestFit="1"/>
    <col min="4" max="4" style="47" width="18.005" customWidth="1" bestFit="1"/>
    <col min="5" max="5" style="73" width="18.005" customWidth="1" bestFit="1"/>
  </cols>
  <sheetData>
    <row x14ac:dyDescent="0.25" r="1" customHeight="1" ht="26">
      <c r="A1" s="75" t="s">
        <v>73</v>
      </c>
      <c r="B1" s="54"/>
      <c r="C1" s="54"/>
      <c r="D1" s="54"/>
      <c r="E1" s="55"/>
    </row>
    <row x14ac:dyDescent="0.25" r="2" customHeight="1" ht="17.25" customFormat="1" s="60">
      <c r="A2" s="63"/>
      <c r="B2" s="55"/>
      <c r="C2" s="55"/>
      <c r="D2" s="55"/>
      <c r="E2" s="55"/>
    </row>
    <row x14ac:dyDescent="0.25" r="3" customHeight="1" ht="17.25" customFormat="1" s="60">
      <c r="A3" s="76" t="s">
        <v>74</v>
      </c>
      <c r="B3" s="76" t="s">
        <v>75</v>
      </c>
      <c r="C3" s="76" t="s">
        <v>76</v>
      </c>
      <c r="D3" s="76" t="s">
        <v>77</v>
      </c>
      <c r="E3" s="63"/>
    </row>
    <row x14ac:dyDescent="0.25" r="4" customHeight="1" ht="17.25">
      <c r="A4" s="77" t="s">
        <v>78</v>
      </c>
      <c r="B4" s="78">
        <f>&amp;#21069;&amp;#25552;!$B$21</f>
      </c>
      <c r="C4" s="79" t="s">
        <v>79</v>
      </c>
      <c r="D4" s="80" t="s">
        <v>80</v>
      </c>
      <c r="E4" s="55"/>
    </row>
    <row x14ac:dyDescent="0.25" r="5" customHeight="1" ht="17.25">
      <c r="A5" s="77" t="s">
        <v>81</v>
      </c>
      <c r="B5" s="78">
        <f>&amp;#21069;&amp;#25552;!$B$20</f>
      </c>
      <c r="C5" s="79" t="s">
        <v>79</v>
      </c>
      <c r="D5" s="80" t="s">
        <v>82</v>
      </c>
      <c r="E5" s="55"/>
    </row>
    <row x14ac:dyDescent="0.25" r="6" customHeight="1" ht="17.25">
      <c r="A6" s="77" t="s">
        <v>83</v>
      </c>
      <c r="B6" s="81">
        <f>&amp;#21069;&amp;#25552;!$B$21/(&amp;#21069;&amp;#25552;!$B$20+&amp;#21069;&amp;#25552;!$B$21)</f>
      </c>
      <c r="C6" s="79"/>
      <c r="D6" s="80" t="s">
        <v>84</v>
      </c>
      <c r="E6" s="55"/>
    </row>
    <row x14ac:dyDescent="0.25" r="7" customHeight="1" ht="17.25">
      <c r="A7" s="77" t="s">
        <v>85</v>
      </c>
      <c r="B7" s="81">
        <f>&amp;#21069;&amp;#25552;!$B$17</f>
      </c>
      <c r="C7" s="79"/>
      <c r="D7" s="80" t="s">
        <v>86</v>
      </c>
      <c r="E7" s="55"/>
    </row>
    <row x14ac:dyDescent="0.25" r="8" customHeight="1" ht="17.25">
      <c r="A8" s="77" t="s">
        <v>87</v>
      </c>
      <c r="B8" s="82">
        <f>B6-B7</f>
      </c>
      <c r="C8" s="79"/>
      <c r="D8" s="80" t="s">
        <v>88</v>
      </c>
      <c r="E8" s="55"/>
    </row>
    <row x14ac:dyDescent="0.25" r="9" customHeight="1" ht="17.25">
      <c r="A9" s="77" t="s">
        <v>89</v>
      </c>
      <c r="B9" s="81">
        <f>&amp;#21069;&amp;#25552;!$B$23</f>
      </c>
      <c r="C9" s="79"/>
      <c r="D9" s="80" t="s">
        <v>90</v>
      </c>
      <c r="E9" s="55"/>
    </row>
    <row x14ac:dyDescent="0.25" r="10" customHeight="1" ht="17.25">
      <c r="A10" s="77" t="s">
        <v>91</v>
      </c>
      <c r="B10" s="82">
        <f>B6-B9</f>
      </c>
      <c r="C10" s="79"/>
      <c r="D10" s="80" t="s">
        <v>92</v>
      </c>
      <c r="E10" s="55"/>
    </row>
    <row x14ac:dyDescent="0.25" r="11" customHeight="1" ht="17.25">
      <c r="A11" s="77" t="s">
        <v>93</v>
      </c>
      <c r="B11" s="78">
        <f>Exit!$B$7</f>
      </c>
      <c r="C11" s="79" t="s">
        <v>79</v>
      </c>
      <c r="D11" s="80" t="s">
        <v>94</v>
      </c>
      <c r="E11" s="55"/>
    </row>
    <row x14ac:dyDescent="0.25" r="12" customHeight="1" ht="17.25">
      <c r="A12" s="77" t="s">
        <v>95</v>
      </c>
      <c r="B12" s="78">
        <f>Exit!$B$7*&amp;#21069;&amp;#25552;!$B$23</f>
      </c>
      <c r="C12" s="79" t="s">
        <v>79</v>
      </c>
      <c r="D12" s="80" t="s">
        <v>96</v>
      </c>
      <c r="E12" s="55"/>
    </row>
    <row x14ac:dyDescent="0.25" r="13" customHeight="1" ht="17.25">
      <c r="A13" s="77" t="s">
        <v>97</v>
      </c>
      <c r="B13" s="83">
        <f>B12/B4</f>
      </c>
      <c r="C13" s="79" t="s">
        <v>98</v>
      </c>
      <c r="D13" s="80" t="s">
        <v>99</v>
      </c>
      <c r="E13" s="55"/>
    </row>
    <row x14ac:dyDescent="0.25" r="14" customHeight="1" ht="17.25">
      <c r="A14" s="77" t="s">
        <v>100</v>
      </c>
      <c r="B14" s="83">
        <f>B12/&amp;#21069;&amp;#25552;!$B$5</f>
      </c>
      <c r="C14" s="79" t="s">
        <v>98</v>
      </c>
      <c r="D14" s="80" t="s">
        <v>101</v>
      </c>
      <c r="E14" s="55"/>
    </row>
    <row x14ac:dyDescent="0.25" r="15" customHeight="1" ht="17.25">
      <c r="A15" s="77" t="s">
        <v>102</v>
      </c>
      <c r="B15" s="78">
        <f>&amp;#21069;&amp;#25552;!$B$10</f>
      </c>
      <c r="C15" s="79" t="s">
        <v>79</v>
      </c>
      <c r="D15" s="80" t="s">
        <v>103</v>
      </c>
      <c r="E15" s="55"/>
    </row>
    <row x14ac:dyDescent="0.25" r="16" customHeight="1" ht="17.25" customFormat="1" s="60">
      <c r="A16" s="84" t="s">
        <v>104</v>
      </c>
      <c r="B16" s="85">
        <f>IF(B12&gt;=&amp;#21069;&amp;#25552;!$B$10,"&amp;#9675; &amp;#12501;&amp;#12449;&amp;#12531;&amp;#12489;&amp;#12522;&amp;#12479;&amp;#12540;&amp;#12490;&amp;#12540;&amp;#25104;&amp;#31435;","&amp;#215; &amp;#19981;&amp;#25104;&amp;#31435;")</f>
      </c>
      <c r="C16" s="79" t="s">
        <v>105</v>
      </c>
      <c r="D16" s="80" t="s">
        <v>106</v>
      </c>
      <c r="E16" s="63"/>
    </row>
    <row x14ac:dyDescent="0.25" r="17" customHeight="1" ht="17.25">
      <c r="A17" s="63" t="s">
        <v>107</v>
      </c>
      <c r="B17" s="86">
        <f>B12/&amp;#21069;&amp;#25552;!$B$18</f>
      </c>
      <c r="C17" s="3" t="s">
        <v>98</v>
      </c>
      <c r="D17" s="3"/>
      <c r="E17" s="55"/>
    </row>
    <row x14ac:dyDescent="0.25" r="18" customHeight="1" ht="17.25">
      <c r="A18" s="87" t="s">
        <v>108</v>
      </c>
      <c r="B18" s="88"/>
      <c r="C18" s="88"/>
      <c r="D18" s="88"/>
      <c r="E18" s="55"/>
    </row>
    <row x14ac:dyDescent="0.25" r="19" customHeight="1" ht="17.25">
      <c r="A19" s="77" t="s">
        <v>109</v>
      </c>
      <c r="B19" s="78">
        <f>&amp;#21069;&amp;#25552;!$B$10/0.10</f>
      </c>
      <c r="C19" s="79" t="s">
        <v>79</v>
      </c>
      <c r="D19" s="80" t="s">
        <v>110</v>
      </c>
      <c r="E19" s="55"/>
    </row>
    <row x14ac:dyDescent="0.25" r="20" customHeight="1" ht="17.25">
      <c r="A20" s="77" t="s">
        <v>111</v>
      </c>
      <c r="B20" s="78">
        <f>&amp;#21069;&amp;#25552;!$B$10/0.11</f>
      </c>
      <c r="C20" s="79" t="s">
        <v>79</v>
      </c>
      <c r="D20" s="80" t="s">
        <v>112</v>
      </c>
      <c r="E20" s="55"/>
    </row>
    <row x14ac:dyDescent="0.25" r="21" customHeight="1" ht="17.25">
      <c r="A21" s="77" t="s">
        <v>113</v>
      </c>
      <c r="B21" s="78">
        <f>&amp;#21069;&amp;#25552;!$B$10/&amp;#21069;&amp;#25552;!$B$23</f>
      </c>
      <c r="C21" s="79" t="s">
        <v>79</v>
      </c>
      <c r="D21" s="80" t="s">
        <v>114</v>
      </c>
      <c r="E21" s="55"/>
    </row>
    <row x14ac:dyDescent="0.25" r="22" customHeight="1" ht="17.25" customFormat="1" s="60">
      <c r="A22" s="63" t="s">
        <v>115</v>
      </c>
      <c r="B22" s="89">
        <f>&amp;#21069;&amp;#25552;!$B$20+&amp;#21069;&amp;#25552;!$B$21</f>
      </c>
      <c r="C22" s="55" t="s">
        <v>79</v>
      </c>
      <c r="D22" s="55"/>
      <c r="E22" s="55"/>
    </row>
    <row x14ac:dyDescent="0.25" r="23" customHeight="1" ht="42" customFormat="1" s="60">
      <c r="A23" s="90" t="s">
        <v>116</v>
      </c>
      <c r="B23" s="71"/>
      <c r="C23" s="71"/>
      <c r="D23" s="71"/>
      <c r="E23" s="71"/>
    </row>
  </sheetData>
  <mergeCells count="2">
    <mergeCell ref="A1:E1"/>
    <mergeCell ref="A23:E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20"/>
  <sheetViews>
    <sheetView workbookViewId="0">
      <pane state="frozen" activePane="bottomLeft" topLeftCell="A5" ySplit="4" xSplit="0"/>
    </sheetView>
  </sheetViews>
  <sheetFormatPr defaultRowHeight="15" x14ac:dyDescent="0.25"/>
  <cols>
    <col min="1" max="1" style="72" width="22.005" customWidth="1" bestFit="1"/>
    <col min="2" max="2" style="50" width="13.005" customWidth="1" bestFit="1"/>
    <col min="3" max="3" style="50" width="13.005" customWidth="1" bestFit="1"/>
    <col min="4" max="4" style="50" width="13.005" customWidth="1" bestFit="1"/>
    <col min="5" max="5" style="50" width="13.005" customWidth="1" bestFit="1"/>
    <col min="6" max="6" style="47" width="13.005" customWidth="1" bestFit="1"/>
    <col min="7" max="7" style="73" width="13.005" customWidth="1" bestFit="1"/>
    <col min="8" max="8" style="74" width="12.43357142857143" customWidth="1" bestFit="1"/>
  </cols>
  <sheetData>
    <row x14ac:dyDescent="0.25" r="1" customHeight="1" ht="26">
      <c r="A1" s="52" t="s">
        <v>65</v>
      </c>
      <c r="B1" s="53"/>
      <c r="C1" s="53"/>
      <c r="D1" s="53"/>
      <c r="E1" s="53"/>
      <c r="F1" s="54"/>
      <c r="G1" s="55"/>
      <c r="H1" s="55"/>
    </row>
    <row x14ac:dyDescent="0.25" r="2" customHeight="1" ht="17.25">
      <c r="A2" s="56"/>
      <c r="B2" s="43"/>
      <c r="C2" s="43"/>
      <c r="D2" s="43"/>
      <c r="E2" s="43"/>
      <c r="F2" s="3"/>
      <c r="G2" s="55"/>
      <c r="H2" s="55"/>
    </row>
    <row x14ac:dyDescent="0.25" r="3" customHeight="1" ht="17.25">
      <c r="A3" s="57" t="s">
        <v>66</v>
      </c>
      <c r="B3" s="58"/>
      <c r="C3" s="58"/>
      <c r="D3" s="58"/>
      <c r="E3" s="58"/>
      <c r="F3" s="59"/>
      <c r="G3" s="55"/>
      <c r="H3" s="55"/>
    </row>
    <row x14ac:dyDescent="0.25" r="4" customHeight="1" ht="17.25" customFormat="1" s="60">
      <c r="A4" s="61" t="s">
        <v>67</v>
      </c>
      <c r="B4" s="62">
        <v>0.08</v>
      </c>
      <c r="C4" s="62">
        <v>0.1</v>
      </c>
      <c r="D4" s="62">
        <v>0.11</v>
      </c>
      <c r="E4" s="62">
        <v>0.12</v>
      </c>
      <c r="F4" s="63"/>
      <c r="G4" s="63"/>
      <c r="H4" s="63"/>
    </row>
    <row x14ac:dyDescent="0.25" r="5" customHeight="1" ht="17.25">
      <c r="A5" s="64">
        <v>12</v>
      </c>
      <c r="B5" s="65">
        <f>Exit!$B$5*$A5*B$4</f>
      </c>
      <c r="C5" s="65">
        <f>Exit!$B$5*$A5*C$4</f>
      </c>
      <c r="D5" s="65">
        <f>Exit!$B$5*$A5*D$4</f>
      </c>
      <c r="E5" s="65">
        <f>Exit!$B$5*$A5*E$4</f>
      </c>
      <c r="F5" s="3"/>
      <c r="G5" s="55"/>
      <c r="H5" s="55"/>
    </row>
    <row x14ac:dyDescent="0.25" r="6" customHeight="1" ht="17.25">
      <c r="A6" s="64">
        <v>15</v>
      </c>
      <c r="B6" s="65">
        <f>Exit!$B$5*$A6*B$4</f>
      </c>
      <c r="C6" s="65">
        <f>Exit!$B$5*$A6*C$4</f>
      </c>
      <c r="D6" s="65">
        <f>Exit!$B$5*$A6*D$4</f>
      </c>
      <c r="E6" s="65">
        <f>Exit!$B$5*$A6*E$4</f>
      </c>
      <c r="F6" s="3"/>
      <c r="G6" s="55"/>
      <c r="H6" s="55"/>
    </row>
    <row x14ac:dyDescent="0.25" r="7" customHeight="1" ht="17.25">
      <c r="A7" s="64">
        <v>17</v>
      </c>
      <c r="B7" s="65">
        <f>Exit!$B$5*$A7*B$4</f>
      </c>
      <c r="C7" s="65">
        <f>Exit!$B$5*$A7*C$4</f>
      </c>
      <c r="D7" s="65">
        <f>Exit!$B$5*$A7*D$4</f>
      </c>
      <c r="E7" s="65">
        <f>Exit!$B$5*$A7*E$4</f>
      </c>
      <c r="F7" s="3"/>
      <c r="G7" s="55"/>
      <c r="H7" s="55"/>
    </row>
    <row x14ac:dyDescent="0.25" r="8" customHeight="1" ht="17.25">
      <c r="A8" s="64">
        <v>18</v>
      </c>
      <c r="B8" s="65">
        <f>Exit!$B$5*$A8*B$4</f>
      </c>
      <c r="C8" s="65">
        <f>Exit!$B$5*$A8*C$4</f>
      </c>
      <c r="D8" s="65">
        <f>Exit!$B$5*$A8*D$4</f>
      </c>
      <c r="E8" s="65">
        <f>Exit!$B$5*$A8*E$4</f>
      </c>
      <c r="F8" s="3"/>
      <c r="G8" s="55"/>
      <c r="H8" s="55"/>
    </row>
    <row x14ac:dyDescent="0.25" r="9" customHeight="1" ht="17.25">
      <c r="A9" s="64">
        <v>20</v>
      </c>
      <c r="B9" s="65">
        <f>Exit!$B$5*$A9*B$4</f>
      </c>
      <c r="C9" s="65">
        <f>Exit!$B$5*$A9*C$4</f>
      </c>
      <c r="D9" s="65">
        <f>Exit!$B$5*$A9*D$4</f>
      </c>
      <c r="E9" s="65">
        <f>Exit!$B$5*$A9*E$4</f>
      </c>
      <c r="F9" s="3"/>
      <c r="G9" s="55"/>
      <c r="H9" s="55"/>
    </row>
    <row x14ac:dyDescent="0.25" r="10" customHeight="1" ht="17.25">
      <c r="A10" s="56"/>
      <c r="B10" s="43"/>
      <c r="C10" s="43"/>
      <c r="D10" s="43"/>
      <c r="E10" s="43"/>
      <c r="F10" s="3"/>
      <c r="G10" s="55"/>
      <c r="H10" s="55"/>
    </row>
    <row x14ac:dyDescent="0.25" r="11" customHeight="1" ht="17.25">
      <c r="A11" s="56"/>
      <c r="B11" s="43"/>
      <c r="C11" s="43"/>
      <c r="D11" s="43"/>
      <c r="E11" s="43"/>
      <c r="F11" s="3"/>
      <c r="G11" s="55"/>
      <c r="H11" s="55"/>
    </row>
    <row x14ac:dyDescent="0.25" r="12" customHeight="1" ht="17.25">
      <c r="A12" s="57" t="s">
        <v>68</v>
      </c>
      <c r="B12" s="58"/>
      <c r="C12" s="58"/>
      <c r="D12" s="58"/>
      <c r="E12" s="58"/>
      <c r="F12" s="59"/>
      <c r="G12" s="55"/>
      <c r="H12" s="55"/>
    </row>
    <row x14ac:dyDescent="0.25" r="13" customHeight="1" ht="17.25" customFormat="1" s="60">
      <c r="A13" s="61" t="s">
        <v>69</v>
      </c>
      <c r="B13" s="62" t="s">
        <v>70</v>
      </c>
      <c r="C13" s="62" t="s">
        <v>71</v>
      </c>
      <c r="D13" s="66"/>
      <c r="E13" s="66"/>
      <c r="F13" s="63"/>
      <c r="G13" s="63"/>
      <c r="H13" s="63"/>
    </row>
    <row x14ac:dyDescent="0.25" r="14" customHeight="1" ht="17.25">
      <c r="A14" s="67">
        <f>$A5</f>
      </c>
      <c r="B14" s="65">
        <f>Exit!$B$5*$A14</f>
      </c>
      <c r="C14" s="68">
        <f>IF(Exit!$B$5*$A14*&amp;#21069;&amp;#25552;!$B$23&gt;=&amp;#21069;&amp;#25552;!$B$10,"&amp;#9675;","&amp;#215;")</f>
      </c>
      <c r="D14" s="43"/>
      <c r="E14" s="43"/>
      <c r="F14" s="3"/>
      <c r="G14" s="55"/>
      <c r="H14" s="55"/>
    </row>
    <row x14ac:dyDescent="0.25" r="15" customHeight="1" ht="17.25">
      <c r="A15" s="67">
        <f>$A6</f>
      </c>
      <c r="B15" s="65">
        <f>Exit!$B$5*$A15</f>
      </c>
      <c r="C15" s="68">
        <f>IF(Exit!$B$5*$A15*&amp;#21069;&amp;#25552;!$B$23&gt;=&amp;#21069;&amp;#25552;!$B$10,"&amp;#9675;","&amp;#215;")</f>
      </c>
      <c r="D15" s="43"/>
      <c r="E15" s="43"/>
      <c r="F15" s="3"/>
      <c r="G15" s="55"/>
      <c r="H15" s="55"/>
    </row>
    <row x14ac:dyDescent="0.25" r="16" customHeight="1" ht="17.25">
      <c r="A16" s="67">
        <f>$A7</f>
      </c>
      <c r="B16" s="65">
        <f>Exit!$B$5*$A16</f>
      </c>
      <c r="C16" s="68">
        <f>IF(Exit!$B$5*$A16*&amp;#21069;&amp;#25552;!$B$23&gt;=&amp;#21069;&amp;#25552;!$B$10,"&amp;#9675;","&amp;#215;")</f>
      </c>
      <c r="D16" s="43"/>
      <c r="E16" s="43"/>
      <c r="F16" s="3"/>
      <c r="G16" s="55"/>
      <c r="H16" s="55"/>
    </row>
    <row x14ac:dyDescent="0.25" r="17" customHeight="1" ht="17.25">
      <c r="A17" s="67">
        <f>$A8</f>
      </c>
      <c r="B17" s="65">
        <f>Exit!$B$5*$A17</f>
      </c>
      <c r="C17" s="68">
        <f>IF(Exit!$B$5*$A17*&amp;#21069;&amp;#25552;!$B$23&gt;=&amp;#21069;&amp;#25552;!$B$10,"&amp;#9675;","&amp;#215;")</f>
      </c>
      <c r="D17" s="43"/>
      <c r="E17" s="43"/>
      <c r="F17" s="3"/>
      <c r="G17" s="55"/>
      <c r="H17" s="55"/>
    </row>
    <row x14ac:dyDescent="0.25" r="18" customHeight="1" ht="17.25">
      <c r="A18" s="67">
        <f>$A9</f>
      </c>
      <c r="B18" s="65">
        <f>Exit!$B$5*$A18</f>
      </c>
      <c r="C18" s="68">
        <f>IF(Exit!$B$5*$A18*&amp;#21069;&amp;#25552;!$B$23&gt;=&amp;#21069;&amp;#25552;!$B$10,"&amp;#9675;","&amp;#215;")</f>
      </c>
      <c r="D18" s="43"/>
      <c r="E18" s="43"/>
      <c r="F18" s="3"/>
      <c r="G18" s="55"/>
      <c r="H18" s="55"/>
    </row>
    <row x14ac:dyDescent="0.25" r="19" customHeight="1" ht="17.25">
      <c r="A19" s="56"/>
      <c r="B19" s="43"/>
      <c r="C19" s="43"/>
      <c r="D19" s="43"/>
      <c r="E19" s="43"/>
      <c r="F19" s="3"/>
      <c r="G19" s="55"/>
      <c r="H19" s="55"/>
    </row>
    <row x14ac:dyDescent="0.25" r="20" customHeight="1" ht="40" customFormat="1" s="60">
      <c r="A20" s="69" t="s">
        <v>72</v>
      </c>
      <c r="B20" s="70"/>
      <c r="C20" s="70"/>
      <c r="D20" s="70"/>
      <c r="E20" s="70"/>
      <c r="F20" s="71"/>
      <c r="G20" s="71"/>
      <c r="H20" s="63"/>
    </row>
  </sheetData>
  <mergeCells count="4">
    <mergeCell ref="A1:H1"/>
    <mergeCell ref="A3:F3"/>
    <mergeCell ref="A12:F12"/>
    <mergeCell ref="A20:G2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31"/>
  <sheetViews>
    <sheetView workbookViewId="0">
      <pane state="frozen" activePane="bottomLeft" topLeftCell="A5" ySplit="4" xSplit="0"/>
    </sheetView>
  </sheetViews>
  <sheetFormatPr defaultRowHeight="15" x14ac:dyDescent="0.25"/>
  <cols>
    <col min="1" max="1" style="45" width="4.005" customWidth="1" bestFit="1"/>
    <col min="2" max="2" style="46" width="18.005" customWidth="1" bestFit="1"/>
    <col min="3" max="3" style="47" width="20.005" customWidth="1" bestFit="1"/>
    <col min="4" max="4" style="48" width="12.005" customWidth="1" bestFit="1"/>
    <col min="5" max="5" style="49" width="9.005" customWidth="1" bestFit="1"/>
    <col min="6" max="6" style="47" width="11.005" customWidth="1" bestFit="1"/>
    <col min="7" max="7" style="50" width="10.005" customWidth="1" bestFit="1"/>
    <col min="8" max="8" style="47" width="30.005" customWidth="1" bestFit="1"/>
    <col min="9" max="9" style="47" width="12.43357142857143" customWidth="1" bestFit="1"/>
    <col min="10" max="10" style="49" width="14.005" customWidth="1" bestFit="1"/>
    <col min="11" max="11" style="49" width="15.005" customWidth="1" bestFit="1"/>
    <col min="12" max="12" style="51" width="14.005" customWidth="1" bestFit="1"/>
  </cols>
  <sheetData>
    <row x14ac:dyDescent="0.25" r="1" customHeight="1" ht="17.25">
      <c r="A1" s="1" t="s">
        <v>0</v>
      </c>
      <c r="B1" s="2"/>
      <c r="C1" s="3"/>
      <c r="D1" s="4"/>
      <c r="E1" s="4"/>
      <c r="F1" s="3"/>
      <c r="G1" s="5"/>
      <c r="H1" s="3"/>
      <c r="I1" s="3"/>
      <c r="J1" s="6"/>
      <c r="K1" s="6"/>
      <c r="L1" s="7"/>
    </row>
    <row x14ac:dyDescent="0.25" r="2" customHeight="1" ht="17.25">
      <c r="A2" s="8" t="s">
        <v>1</v>
      </c>
      <c r="B2" s="2"/>
      <c r="C2" s="3"/>
      <c r="D2" s="4"/>
      <c r="E2" s="4"/>
      <c r="F2" s="3"/>
      <c r="G2" s="5"/>
      <c r="H2" s="3"/>
      <c r="I2" s="3"/>
      <c r="J2" s="6"/>
      <c r="K2" s="6"/>
      <c r="L2" s="7"/>
    </row>
    <row x14ac:dyDescent="0.25" r="3" customHeight="1" ht="17.25">
      <c r="A3" s="9"/>
      <c r="B3" s="2"/>
      <c r="C3" s="3"/>
      <c r="D3" s="4"/>
      <c r="E3" s="4"/>
      <c r="F3" s="3"/>
      <c r="G3" s="5"/>
      <c r="H3" s="3"/>
      <c r="I3" s="3"/>
      <c r="J3" s="6"/>
      <c r="K3" s="6"/>
      <c r="L3" s="7"/>
    </row>
    <row x14ac:dyDescent="0.25" r="4" customHeight="1" ht="17.25">
      <c r="A4" s="10" t="s">
        <v>2</v>
      </c>
      <c r="B4" s="11" t="s">
        <v>3</v>
      </c>
      <c r="C4" s="11" t="s">
        <v>4</v>
      </c>
      <c r="D4" s="12" t="s">
        <v>5</v>
      </c>
      <c r="E4" s="12" t="s">
        <v>6</v>
      </c>
      <c r="F4" s="11" t="s">
        <v>7</v>
      </c>
      <c r="G4" s="13" t="s">
        <v>8</v>
      </c>
      <c r="H4" s="14" t="s">
        <v>9</v>
      </c>
      <c r="I4" s="3" t="s">
        <v>10</v>
      </c>
      <c r="J4" s="15" t="s">
        <v>11</v>
      </c>
      <c r="K4" s="15" t="s">
        <v>12</v>
      </c>
      <c r="L4" s="16" t="s">
        <v>13</v>
      </c>
    </row>
    <row x14ac:dyDescent="0.25" r="5" customHeight="1" ht="17.25">
      <c r="A5" s="17">
        <v>1</v>
      </c>
      <c r="B5" s="18" t="s">
        <v>14</v>
      </c>
      <c r="C5" s="18" t="s">
        <v>15</v>
      </c>
      <c r="D5" s="19">
        <f>&amp;#21069;&amp;#25552;!$B$18</f>
      </c>
      <c r="E5" s="19">
        <f>F5/D5</f>
      </c>
      <c r="F5" s="19">
        <f>&amp;#12522;&amp;#12479;&amp;#12540;&amp;#12531;!$B$12</f>
      </c>
      <c r="G5" s="20">
        <f>F5/$F$15</f>
      </c>
      <c r="H5" s="21" t="s">
        <v>16</v>
      </c>
      <c r="I5" s="3" t="s">
        <v>17</v>
      </c>
      <c r="J5" s="22" t="s">
        <v>18</v>
      </c>
      <c r="K5" s="6"/>
      <c r="L5" s="7"/>
    </row>
    <row x14ac:dyDescent="0.25" r="6" customHeight="1" ht="17.25">
      <c r="A6" s="23">
        <v>2</v>
      </c>
      <c r="B6" s="24" t="s">
        <v>19</v>
      </c>
      <c r="C6" s="24" t="s">
        <v>20</v>
      </c>
      <c r="D6" s="25">
        <v>16</v>
      </c>
      <c r="E6" s="25">
        <f>F6/D6</f>
      </c>
      <c r="F6" s="25">
        <f>J6*K6*L6</f>
      </c>
      <c r="G6" s="26">
        <f>F6/$F$15</f>
      </c>
      <c r="H6" s="21" t="s">
        <v>21</v>
      </c>
      <c r="I6" s="3" t="s">
        <v>22</v>
      </c>
      <c r="J6" s="27">
        <v>17</v>
      </c>
      <c r="K6" s="27">
        <v>80</v>
      </c>
      <c r="L6" s="28">
        <v>0.1</v>
      </c>
    </row>
    <row x14ac:dyDescent="0.25" r="7" customHeight="1" ht="17.25">
      <c r="A7" s="29">
        <v>3</v>
      </c>
      <c r="B7" s="30" t="s">
        <v>23</v>
      </c>
      <c r="C7" s="30" t="s">
        <v>24</v>
      </c>
      <c r="D7" s="31">
        <v>14</v>
      </c>
      <c r="E7" s="31">
        <f>F7/D7</f>
      </c>
      <c r="F7" s="32">
        <f>J7*K7*L7</f>
      </c>
      <c r="G7" s="33">
        <f>F7/$F$15</f>
      </c>
      <c r="H7" s="21" t="s">
        <v>25</v>
      </c>
      <c r="I7" s="3" t="s">
        <v>26</v>
      </c>
      <c r="J7" s="27">
        <v>10</v>
      </c>
      <c r="K7" s="27">
        <v>70</v>
      </c>
      <c r="L7" s="28">
        <v>0.1</v>
      </c>
    </row>
    <row x14ac:dyDescent="0.25" r="8" customHeight="1" ht="17.25">
      <c r="A8" s="29">
        <v>4</v>
      </c>
      <c r="B8" s="30" t="s">
        <v>27</v>
      </c>
      <c r="C8" s="30" t="s">
        <v>24</v>
      </c>
      <c r="D8" s="31">
        <v>13</v>
      </c>
      <c r="E8" s="31">
        <f>F8/D8</f>
      </c>
      <c r="F8" s="32">
        <f>J8*K8*L8</f>
      </c>
      <c r="G8" s="33">
        <f>F8/$F$15</f>
      </c>
      <c r="H8" s="21" t="s">
        <v>28</v>
      </c>
      <c r="I8" s="3" t="s">
        <v>29</v>
      </c>
      <c r="J8" s="27">
        <v>8</v>
      </c>
      <c r="K8" s="27">
        <v>65</v>
      </c>
      <c r="L8" s="28">
        <v>0.0875</v>
      </c>
    </row>
    <row x14ac:dyDescent="0.25" r="9" customHeight="1" ht="17.25">
      <c r="A9" s="29">
        <v>5</v>
      </c>
      <c r="B9" s="30" t="s">
        <v>30</v>
      </c>
      <c r="C9" s="30" t="s">
        <v>31</v>
      </c>
      <c r="D9" s="31">
        <v>13</v>
      </c>
      <c r="E9" s="31">
        <f>F9/D9</f>
      </c>
      <c r="F9" s="32">
        <f>J9*K9*L9</f>
      </c>
      <c r="G9" s="33">
        <f>F9/$F$15</f>
      </c>
      <c r="H9" s="21" t="s">
        <v>32</v>
      </c>
      <c r="I9" s="3" t="s">
        <v>33</v>
      </c>
      <c r="J9" s="27">
        <v>7</v>
      </c>
      <c r="K9" s="27">
        <v>57</v>
      </c>
      <c r="L9" s="28">
        <v>0.07493734335839598</v>
      </c>
    </row>
    <row x14ac:dyDescent="0.25" r="10" customHeight="1" ht="17.25">
      <c r="A10" s="29">
        <v>6</v>
      </c>
      <c r="B10" s="30" t="s">
        <v>34</v>
      </c>
      <c r="C10" s="30" t="s">
        <v>31</v>
      </c>
      <c r="D10" s="31">
        <v>12</v>
      </c>
      <c r="E10" s="31">
        <f>F10/D10</f>
      </c>
      <c r="F10" s="32">
        <f>J10*K10*L10</f>
      </c>
      <c r="G10" s="33">
        <f>F10/$F$15</f>
      </c>
      <c r="H10" s="21" t="s">
        <v>35</v>
      </c>
      <c r="I10" s="3" t="s">
        <v>36</v>
      </c>
      <c r="J10" s="27">
        <v>6</v>
      </c>
      <c r="K10" s="27">
        <v>45</v>
      </c>
      <c r="L10" s="28">
        <v>0.06666666666666667</v>
      </c>
    </row>
    <row x14ac:dyDescent="0.25" r="11" customHeight="1" ht="17.25">
      <c r="A11" s="29">
        <v>7</v>
      </c>
      <c r="B11" s="30" t="s">
        <v>37</v>
      </c>
      <c r="C11" s="30" t="s">
        <v>38</v>
      </c>
      <c r="D11" s="31">
        <v>11</v>
      </c>
      <c r="E11" s="31">
        <f>F11/D11</f>
      </c>
      <c r="F11" s="32">
        <f>J11*K11*L11</f>
      </c>
      <c r="G11" s="33">
        <f>F11/$F$15</f>
      </c>
      <c r="H11" s="21" t="s">
        <v>35</v>
      </c>
      <c r="I11" s="3" t="s">
        <v>39</v>
      </c>
      <c r="J11" s="27">
        <v>5</v>
      </c>
      <c r="K11" s="27">
        <v>40</v>
      </c>
      <c r="L11" s="28">
        <v>0.055</v>
      </c>
    </row>
    <row x14ac:dyDescent="0.25" r="12" customHeight="1" ht="17.25">
      <c r="A12" s="29">
        <v>8</v>
      </c>
      <c r="B12" s="30" t="s">
        <v>40</v>
      </c>
      <c r="C12" s="30" t="s">
        <v>41</v>
      </c>
      <c r="D12" s="31">
        <v>10</v>
      </c>
      <c r="E12" s="31">
        <f>F12/D12</f>
      </c>
      <c r="F12" s="32">
        <f>J12*K12*L12</f>
      </c>
      <c r="G12" s="33">
        <f>F12/$F$15</f>
      </c>
      <c r="H12" s="21" t="s">
        <v>35</v>
      </c>
      <c r="I12" s="3" t="s">
        <v>42</v>
      </c>
      <c r="J12" s="27">
        <v>5</v>
      </c>
      <c r="K12" s="27">
        <v>25</v>
      </c>
      <c r="L12" s="28">
        <v>0.04</v>
      </c>
    </row>
    <row x14ac:dyDescent="0.25" r="13" customHeight="1" ht="17.25">
      <c r="A13" s="29">
        <v>9</v>
      </c>
      <c r="B13" s="30" t="s">
        <v>43</v>
      </c>
      <c r="C13" s="30" t="s">
        <v>44</v>
      </c>
      <c r="D13" s="31">
        <v>9</v>
      </c>
      <c r="E13" s="31">
        <f>F13/D13</f>
      </c>
      <c r="F13" s="32">
        <f>J13*K13*L13</f>
      </c>
      <c r="G13" s="33">
        <f>F13/$F$15</f>
      </c>
      <c r="H13" s="21" t="s">
        <v>35</v>
      </c>
      <c r="I13" s="3" t="s">
        <v>45</v>
      </c>
      <c r="J13" s="27">
        <v>4</v>
      </c>
      <c r="K13" s="27">
        <v>18</v>
      </c>
      <c r="L13" s="28">
        <v>0.03750000000000001</v>
      </c>
    </row>
    <row x14ac:dyDescent="0.25" r="14" customHeight="1" ht="17.25">
      <c r="A14" s="29">
        <v>10</v>
      </c>
      <c r="B14" s="30" t="s">
        <v>46</v>
      </c>
      <c r="C14" s="30" t="s">
        <v>47</v>
      </c>
      <c r="D14" s="31">
        <v>8</v>
      </c>
      <c r="E14" s="31">
        <f>F14/D14</f>
      </c>
      <c r="F14" s="32">
        <f>J14*K14*L14</f>
      </c>
      <c r="G14" s="33">
        <f>F14/$F$15</f>
      </c>
      <c r="H14" s="21" t="s">
        <v>35</v>
      </c>
      <c r="I14" s="3" t="s">
        <v>48</v>
      </c>
      <c r="J14" s="27">
        <v>4</v>
      </c>
      <c r="K14" s="27">
        <v>12</v>
      </c>
      <c r="L14" s="28">
        <v>0</v>
      </c>
    </row>
    <row x14ac:dyDescent="0.25" r="15" customHeight="1" ht="17.25">
      <c r="A15" s="34"/>
      <c r="B15" s="35" t="s">
        <v>49</v>
      </c>
      <c r="C15" s="35" t="s">
        <v>50</v>
      </c>
      <c r="D15" s="36">
        <f>SUM(D5:D14)</f>
      </c>
      <c r="E15" s="36">
        <f>F15/D15</f>
      </c>
      <c r="F15" s="36">
        <f>SUM(F5:F14)</f>
      </c>
      <c r="G15" s="37">
        <v>1</v>
      </c>
      <c r="H15" s="3"/>
      <c r="I15" s="3"/>
      <c r="J15" s="6"/>
      <c r="K15" s="6"/>
      <c r="L15" s="7"/>
    </row>
    <row x14ac:dyDescent="0.25" r="16" customHeight="1" ht="17.25">
      <c r="A16" s="9"/>
      <c r="B16" s="2"/>
      <c r="C16" s="3"/>
      <c r="D16" s="4"/>
      <c r="E16" s="4"/>
      <c r="F16" s="3"/>
      <c r="G16" s="5"/>
      <c r="H16" s="3"/>
      <c r="I16" s="3"/>
      <c r="J16" s="6"/>
      <c r="K16" s="6"/>
      <c r="L16" s="7"/>
    </row>
    <row x14ac:dyDescent="0.25" r="17" customHeight="1" ht="17.25">
      <c r="A17" s="9"/>
      <c r="B17" s="38" t="s">
        <v>51</v>
      </c>
      <c r="C17" s="3"/>
      <c r="D17" s="39"/>
      <c r="E17" s="4"/>
      <c r="F17" s="3"/>
      <c r="G17" s="5"/>
      <c r="H17" s="3"/>
      <c r="I17" s="3"/>
      <c r="J17" s="6"/>
      <c r="K17" s="6"/>
      <c r="L17" s="7"/>
    </row>
    <row x14ac:dyDescent="0.25" r="18" customHeight="1" ht="17.25">
      <c r="A18" s="9"/>
      <c r="B18" s="2" t="s">
        <v>52</v>
      </c>
      <c r="C18" s="3"/>
      <c r="D18" s="39">
        <f>D15</f>
      </c>
      <c r="E18" s="4"/>
      <c r="F18" s="3"/>
      <c r="G18" s="5"/>
      <c r="H18" s="3"/>
      <c r="I18" s="3"/>
      <c r="J18" s="6"/>
      <c r="K18" s="6"/>
      <c r="L18" s="7"/>
    </row>
    <row x14ac:dyDescent="0.25" r="19" customHeight="1" ht="17.25">
      <c r="A19" s="9"/>
      <c r="B19" s="2" t="s">
        <v>53</v>
      </c>
      <c r="C19" s="3"/>
      <c r="D19" s="39">
        <f>F15</f>
      </c>
      <c r="E19" s="4"/>
      <c r="F19" s="3"/>
      <c r="G19" s="5"/>
      <c r="H19" s="3"/>
      <c r="I19" s="3"/>
      <c r="J19" s="6"/>
      <c r="K19" s="6"/>
      <c r="L19" s="7"/>
    </row>
    <row x14ac:dyDescent="0.25" r="20" customHeight="1" ht="17.25">
      <c r="A20" s="9"/>
      <c r="B20" s="2" t="s">
        <v>54</v>
      </c>
      <c r="C20" s="3"/>
      <c r="D20" s="40">
        <f>F15/D15</f>
      </c>
      <c r="E20" s="4"/>
      <c r="F20" s="3"/>
      <c r="G20" s="5"/>
      <c r="H20" s="3"/>
      <c r="I20" s="3"/>
      <c r="J20" s="6"/>
      <c r="K20" s="6"/>
      <c r="L20" s="7"/>
    </row>
    <row x14ac:dyDescent="0.25" r="21" customHeight="1" ht="17.25">
      <c r="A21" s="9"/>
      <c r="B21" s="2" t="s">
        <v>55</v>
      </c>
      <c r="C21" s="3"/>
      <c r="D21" s="39">
        <f>&amp;#21069;&amp;#25552;!$B$5</f>
      </c>
      <c r="E21" s="4"/>
      <c r="F21" s="3"/>
      <c r="G21" s="5"/>
      <c r="H21" s="3"/>
      <c r="I21" s="3"/>
      <c r="J21" s="6"/>
      <c r="K21" s="6"/>
      <c r="L21" s="7"/>
    </row>
    <row x14ac:dyDescent="0.25" r="22" customHeight="1" ht="17.25">
      <c r="A22" s="9"/>
      <c r="B22" s="2" t="s">
        <v>56</v>
      </c>
      <c r="C22" s="3"/>
      <c r="D22" s="39">
        <f>&amp;#21069;&amp;#25552;!$B$5+0.8*(F15-&amp;#21069;&amp;#25552;!$B$5)</f>
      </c>
      <c r="E22" s="4"/>
      <c r="F22" s="3"/>
      <c r="G22" s="5"/>
      <c r="H22" s="3"/>
      <c r="I22" s="3"/>
      <c r="J22" s="6"/>
      <c r="K22" s="6"/>
      <c r="L22" s="7"/>
    </row>
    <row x14ac:dyDescent="0.25" r="23" customHeight="1" ht="17.25">
      <c r="A23" s="9"/>
      <c r="B23" s="2" t="s">
        <v>57</v>
      </c>
      <c r="C23" s="3"/>
      <c r="D23" s="39">
        <f>0.2*(F15-&amp;#21069;&amp;#25552;!$B$5)</f>
      </c>
      <c r="E23" s="4"/>
      <c r="F23" s="3"/>
      <c r="G23" s="5"/>
      <c r="H23" s="3"/>
      <c r="I23" s="3"/>
      <c r="J23" s="6"/>
      <c r="K23" s="6"/>
      <c r="L23" s="7"/>
    </row>
    <row x14ac:dyDescent="0.25" r="24" customHeight="1" ht="17.25">
      <c r="A24" s="9"/>
      <c r="B24" s="41" t="s">
        <v>58</v>
      </c>
      <c r="C24" s="3"/>
      <c r="D24" s="42">
        <f>(&amp;#21069;&amp;#25552;!$B$5+0.8*(F15-&amp;#21069;&amp;#25552;!$B$5))/&amp;#21069;&amp;#25552;!$B$5</f>
      </c>
      <c r="E24" s="4"/>
      <c r="F24" s="3"/>
      <c r="G24" s="5"/>
      <c r="H24" s="3"/>
      <c r="I24" s="3"/>
      <c r="J24" s="6"/>
      <c r="K24" s="6"/>
      <c r="L24" s="7"/>
    </row>
    <row x14ac:dyDescent="0.25" r="25" customHeight="1" ht="17.25">
      <c r="A25" s="9"/>
      <c r="B25" s="2" t="s">
        <v>59</v>
      </c>
      <c r="C25" s="3"/>
      <c r="D25" s="40">
        <f>&amp;#12522;&amp;#12479;&amp;#12540;&amp;#12531;!$B$14</f>
      </c>
      <c r="E25" s="4"/>
      <c r="F25" s="3"/>
      <c r="G25" s="5"/>
      <c r="H25" s="3"/>
      <c r="I25" s="3"/>
      <c r="J25" s="6"/>
      <c r="K25" s="6"/>
      <c r="L25" s="7"/>
    </row>
    <row x14ac:dyDescent="0.25" r="26" customHeight="1" ht="17.25">
      <c r="A26" s="9"/>
      <c r="B26" s="2" t="s">
        <v>60</v>
      </c>
      <c r="C26" s="3"/>
      <c r="D26" s="43">
        <f>(F5+F6)/F15</f>
      </c>
      <c r="E26" s="4"/>
      <c r="F26" s="3"/>
      <c r="G26" s="5"/>
      <c r="H26" s="3"/>
      <c r="I26" s="3"/>
      <c r="J26" s="6"/>
      <c r="K26" s="6"/>
      <c r="L26" s="7"/>
    </row>
    <row x14ac:dyDescent="0.25" r="27" customHeight="1" ht="17.25">
      <c r="A27" s="9"/>
      <c r="B27" s="2"/>
      <c r="C27" s="3"/>
      <c r="D27" s="4"/>
      <c r="E27" s="4"/>
      <c r="F27" s="3"/>
      <c r="G27" s="5"/>
      <c r="H27" s="3"/>
      <c r="I27" s="3"/>
      <c r="J27" s="6"/>
      <c r="K27" s="6"/>
      <c r="L27" s="7"/>
    </row>
    <row x14ac:dyDescent="0.25" r="28" customHeight="1" ht="17.25">
      <c r="A28" s="9"/>
      <c r="B28" s="38" t="s">
        <v>61</v>
      </c>
      <c r="C28" s="3"/>
      <c r="D28" s="39"/>
      <c r="E28" s="4"/>
      <c r="F28" s="3"/>
      <c r="G28" s="5"/>
      <c r="H28" s="3"/>
      <c r="I28" s="3"/>
      <c r="J28" s="6"/>
      <c r="K28" s="6"/>
      <c r="L28" s="7"/>
    </row>
    <row x14ac:dyDescent="0.25" r="29" customHeight="1" ht="17.25">
      <c r="A29" s="9"/>
      <c r="B29" s="2" t="s">
        <v>62</v>
      </c>
      <c r="C29" s="3"/>
      <c r="D29" s="39">
        <f>&amp;#21069;&amp;#25552;!$B$12*10</f>
      </c>
      <c r="E29" s="4"/>
      <c r="F29" s="3"/>
      <c r="G29" s="5"/>
      <c r="H29" s="3"/>
      <c r="I29" s="3"/>
      <c r="J29" s="6"/>
      <c r="K29" s="6"/>
      <c r="L29" s="7"/>
    </row>
    <row x14ac:dyDescent="0.25" r="30" customHeight="1" ht="17.25">
      <c r="A30" s="9"/>
      <c r="B30" s="2" t="s">
        <v>63</v>
      </c>
      <c r="C30" s="3"/>
      <c r="D30" s="39">
        <f>D15-&amp;#21069;&amp;#25552;!$B$12*10</f>
      </c>
      <c r="E30" s="4"/>
      <c r="F30" s="3"/>
      <c r="G30" s="5"/>
      <c r="H30" s="3"/>
      <c r="I30" s="3"/>
      <c r="J30" s="6"/>
      <c r="K30" s="6"/>
      <c r="L30" s="7"/>
    </row>
    <row x14ac:dyDescent="0.25" r="31" customHeight="1" ht="17.25">
      <c r="A31" s="9"/>
      <c r="B31" s="41" t="s">
        <v>64</v>
      </c>
      <c r="C31" s="3"/>
      <c r="D31" s="44">
        <f>(&amp;#21069;&amp;#25552;!$B$12*10)/D15</f>
      </c>
      <c r="E31" s="4"/>
      <c r="F31" s="3"/>
      <c r="G31" s="5"/>
      <c r="H31" s="3"/>
      <c r="I31" s="3"/>
      <c r="J31" s="6"/>
      <c r="K31" s="6"/>
      <c r="L31" s="7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6</vt:i4>
      </vt:variant>
    </vt:vector>
  </HeadingPairs>
  <TitlesOfParts>
    <vt:vector baseType="lpstr" size="6">
      <vt:lpstr>前提</vt:lpstr>
      <vt:lpstr>PL</vt:lpstr>
      <vt:lpstr>Exit</vt:lpstr>
      <vt:lpstr>リターン</vt:lpstr>
      <vt:lpstr>感度分析</vt:lpstr>
      <vt:lpstr>ポートフォリオ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2026-06-21T19:45:08.356Z</dcterms:created>
  <dcterms:modified xsi:type="dcterms:W3CDTF">2026-06-21T19:45:08.356Z</dcterms:modified>
</cp:coreProperties>
</file>