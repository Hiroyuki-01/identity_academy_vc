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ファンドリターナー" sheetId="2" state="visible" r:id="rId2"/>
    <sheet name="感度" sheetId="3" state="visible" r:id="rId3"/>
    <sheet name="ポートフォリ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</font>
    <font>
      <i val="1"/>
      <color rgb="00595959"/>
    </font>
    <font>
      <b val="1"/>
      <sz val="12"/>
    </font>
    <font>
      <name val="Calibri"/>
      <b val="1"/>
      <color theme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305496"/>
        <bgColor rgb="0030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164" fontId="0" fillId="5" borderId="0" pivotButton="0" quotePrefix="0" xfId="0"/>
    <xf numFmtId="0" fontId="4" fillId="0" borderId="0" pivotButton="0" quotePrefix="0" xfId="0"/>
    <xf numFmtId="0" fontId="4" fillId="6" borderId="0" pivotButton="0" quotePrefix="0" xfId="0"/>
    <xf numFmtId="165" fontId="0" fillId="5" borderId="0" pivotButton="0" quotePrefix="0" xfId="0"/>
    <xf numFmtId="2" fontId="2" fillId="3" borderId="0" pivotButton="0" quotePrefix="0" xfId="0"/>
    <xf numFmtId="165" fontId="5" fillId="5" borderId="0" pivotButton="0" quotePrefix="0" xfId="0"/>
    <xf numFmtId="0" fontId="6" fillId="0" borderId="0" pivotButton="0" quotePrefix="0" xfId="0"/>
    <xf numFmtId="0" fontId="6" fillId="4" borderId="0" pivotButton="0" quotePrefix="0" xfId="0"/>
    <xf numFmtId="165" fontId="6" fillId="5" borderId="0" pivotButton="0" quotePrefix="0" xfId="0"/>
    <xf numFmtId="0" fontId="6" fillId="5" borderId="0" pivotButton="0" quotePrefix="0" xfId="0"/>
    <xf numFmtId="2" fontId="6" fillId="5" borderId="0" pivotButton="0" quotePrefix="0" xfId="0"/>
    <xf numFmtId="2" fontId="4" fillId="6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55" customWidth="1" min="4" max="4"/>
  </cols>
  <sheetData>
    <row r="1">
      <c r="A1" s="1" t="inlineStr">
        <is>
          <t>全ての数字はここで決まる。8つの入力 × 結論は2つ(=ファンドリターナー成立 / net DPI 3X)。</t>
        </is>
      </c>
    </row>
    <row r="2">
      <c r="A2" s="2" t="inlineStr">
        <is>
          <t>項目</t>
        </is>
      </c>
      <c r="B2" s="2" t="inlineStr">
        <is>
          <t>値</t>
        </is>
      </c>
      <c r="C2" s="2" t="inlineStr">
        <is>
          <t>単位</t>
        </is>
      </c>
      <c r="D2" s="2" t="inlineStr">
        <is>
          <t>注記</t>
        </is>
      </c>
    </row>
    <row r="3">
      <c r="A3" t="inlineStr">
        <is>
          <t>ファンド総額</t>
        </is>
      </c>
      <c r="B3" s="3" t="n">
        <v>150</v>
      </c>
      <c r="C3" t="inlineStr">
        <is>
          <t>億</t>
        </is>
      </c>
      <c r="D3" t="inlineStr">
        <is>
          <t>3号ファンド(1号30億DPI2.0X / 2号80億DPI1.5X)</t>
        </is>
      </c>
    </row>
    <row r="4">
      <c r="A4" t="inlineStr">
        <is>
          <t>ファンドリターナー閾値</t>
        </is>
      </c>
      <c r="B4" s="3" t="n">
        <v>150</v>
      </c>
      <c r="C4" t="inlineStr">
        <is>
          <t>億</t>
        </is>
      </c>
      <c r="D4" t="inlineStr">
        <is>
          <t>1社の回収がこれ以上で成立</t>
        </is>
      </c>
    </row>
    <row r="5">
      <c r="A5" t="inlineStr">
        <is>
          <t>目標 net DPI</t>
        </is>
      </c>
      <c r="B5" s="3" t="n">
        <v>3</v>
      </c>
      <c r="C5" t="inlineStr">
        <is>
          <t>X</t>
        </is>
      </c>
      <c r="D5" t="inlineStr">
        <is>
          <t>グロス約4.3X 相当</t>
        </is>
      </c>
    </row>
    <row r="6">
      <c r="A6" t="inlineStr">
        <is>
          <t>初回チケット</t>
        </is>
      </c>
      <c r="B6" s="3" t="n">
        <v>5.5</v>
      </c>
      <c r="C6" t="inlineStr">
        <is>
          <t>億</t>
        </is>
      </c>
      <c r="D6" t="inlineStr">
        <is>
          <t>Solafune 初回投資額</t>
        </is>
      </c>
    </row>
    <row r="7">
      <c r="A7" t="inlineStr">
        <is>
          <t>投資前 Pre-Val</t>
        </is>
      </c>
      <c r="B7" s="3" t="n">
        <v>31</v>
      </c>
      <c r="C7" t="inlineStr">
        <is>
          <t>億</t>
        </is>
      </c>
      <c r="D7" t="inlineStr">
        <is>
          <t>[仮] シード〜プレA拡大組成。Post=36.5</t>
        </is>
      </c>
    </row>
    <row r="8">
      <c r="A8" t="inlineStr">
        <is>
          <t>エントリー持分</t>
        </is>
      </c>
      <c r="B8" s="4">
        <f>B6/(B7+B6)</f>
        <v/>
      </c>
      <c r="C8" t="inlineStr"/>
      <c r="D8" t="inlineStr">
        <is>
          <t>初回/(Pre+初回)。15.1%</t>
        </is>
      </c>
    </row>
    <row r="9">
      <c r="A9" t="inlineStr">
        <is>
          <t>2032年 Exit売上</t>
        </is>
      </c>
      <c r="B9" s="3" t="n">
        <v>100</v>
      </c>
      <c r="C9" t="inlineStr">
        <is>
          <t>億</t>
        </is>
      </c>
      <c r="D9" t="inlineStr">
        <is>
          <t>[仮] 公的需要プール導出。CAGR延伸を廃止し直接入力</t>
        </is>
      </c>
    </row>
    <row r="10">
      <c r="A10" t="inlineStr">
        <is>
          <t>EV/Sales 倍率</t>
        </is>
      </c>
      <c r="B10" s="3" t="n">
        <v>17</v>
      </c>
      <c r="C10" t="inlineStr">
        <is>
          <t>倍</t>
        </is>
      </c>
      <c r="D10" t="inlineStr">
        <is>
          <t>[仮] comps中央値10倍 + 主権/ソフト比/粗利プレミアム</t>
        </is>
      </c>
    </row>
    <row r="11">
      <c r="A11" t="inlineStr">
        <is>
          <t>Exit持分(希薄化後)</t>
        </is>
      </c>
      <c r="B11" s="5" t="n">
        <v>0.12</v>
      </c>
      <c r="C11" t="inlineStr"/>
      <c r="D11" t="inlineStr">
        <is>
          <t>[仮] 10〜12%帯</t>
        </is>
      </c>
    </row>
    <row r="12">
      <c r="A12" s="6" t="inlineStr">
        <is>
          <t>注記(計算には未使用)</t>
        </is>
      </c>
      <c r="B12" s="6" t="inlineStr">
        <is>
          <t>集中度上限13% / リザーブ初回:追加=45:55 / 管理報酬2% / 運用10年(投資5+回収5)</t>
        </is>
      </c>
    </row>
  </sheetData>
  <mergeCells count="2">
    <mergeCell ref="B12:D12"/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8" customWidth="1" min="3" max="3"/>
  </cols>
  <sheetData>
    <row r="1">
      <c r="A1" s="1" t="inlineStr">
        <is>
          <t>Solafune単独で 回収204億 ≧ 閾値150億 ⇒ ファンドリターナー成立(エントリー15.1% → 希薄化後12% × EV1,700億)</t>
        </is>
      </c>
    </row>
    <row r="2">
      <c r="A2" s="2" t="inlineStr">
        <is>
          <t>項目</t>
        </is>
      </c>
      <c r="B2" s="2" t="inlineStr">
        <is>
          <t>値</t>
        </is>
      </c>
      <c r="C2" s="2" t="inlineStr">
        <is>
          <t>単位</t>
        </is>
      </c>
    </row>
    <row r="3">
      <c r="A3" t="inlineStr">
        <is>
          <t>初回投資</t>
        </is>
      </c>
      <c r="B3" s="4">
        <f>前提!B6</f>
        <v/>
      </c>
      <c r="C3" t="inlineStr">
        <is>
          <t>億</t>
        </is>
      </c>
    </row>
    <row r="4">
      <c r="A4" t="inlineStr">
        <is>
          <t>Pre-Val</t>
        </is>
      </c>
      <c r="B4" s="4">
        <f>前提!B7</f>
        <v/>
      </c>
      <c r="C4" t="inlineStr">
        <is>
          <t>億</t>
        </is>
      </c>
    </row>
    <row r="5">
      <c r="A5" t="inlineStr">
        <is>
          <t>エントリー持分</t>
        </is>
      </c>
      <c r="B5" s="7">
        <f>前提!B8</f>
        <v/>
      </c>
      <c r="C5" t="inlineStr"/>
    </row>
    <row r="6">
      <c r="A6" t="inlineStr">
        <is>
          <t>Exit売上</t>
        </is>
      </c>
      <c r="B6" s="4">
        <f>前提!B9</f>
        <v/>
      </c>
      <c r="C6" t="inlineStr">
        <is>
          <t>億</t>
        </is>
      </c>
    </row>
    <row r="7">
      <c r="A7" t="inlineStr">
        <is>
          <t>EV/Sales</t>
        </is>
      </c>
      <c r="B7" s="4">
        <f>前提!B10</f>
        <v/>
      </c>
      <c r="C7" t="inlineStr">
        <is>
          <t>倍</t>
        </is>
      </c>
    </row>
    <row r="8">
      <c r="A8" t="inlineStr">
        <is>
          <t>Exit企業価値</t>
        </is>
      </c>
      <c r="B8" s="4">
        <f>B6*B7</f>
        <v/>
      </c>
      <c r="C8" t="inlineStr">
        <is>
          <t>億</t>
        </is>
      </c>
    </row>
    <row r="9">
      <c r="A9" t="inlineStr">
        <is>
          <t>Exit持分(希薄化後)</t>
        </is>
      </c>
      <c r="B9" s="7">
        <f>前提!B11</f>
        <v/>
      </c>
      <c r="C9" t="inlineStr"/>
    </row>
    <row r="10">
      <c r="A10" s="8" t="inlineStr">
        <is>
          <t>★回収額</t>
        </is>
      </c>
      <c r="B10" s="9">
        <f>B8*B9</f>
        <v/>
      </c>
      <c r="C10" t="inlineStr">
        <is>
          <t>億</t>
        </is>
      </c>
    </row>
    <row r="11">
      <c r="A11" s="8" t="inlineStr">
        <is>
          <t>ファンドリターナー判定</t>
        </is>
      </c>
      <c r="B11" s="9">
        <f>IF(B10&gt;=前提!B4,"○ ファンドリターナー成立","× 不成立")</f>
        <v/>
      </c>
      <c r="C11" t="inlineStr"/>
    </row>
    <row r="12">
      <c r="A12" t="inlineStr">
        <is>
          <t>対初回MOIC</t>
        </is>
      </c>
      <c r="B12" s="10">
        <f>B10/B3</f>
        <v/>
      </c>
      <c r="C12" t="inlineStr">
        <is>
          <t>X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17×0.12=204億(中心)。EV/Sales 15倍×持分10%(=150億)まで耐える=外れても勝てる幅</t>
        </is>
      </c>
    </row>
    <row r="2">
      <c r="A2" s="6" t="inlineStr">
        <is>
          <t>回収額(億) = Exit売上 × EV/Sales × Exit持分。緑=150億超(ファンドリターナー成立域)</t>
        </is>
      </c>
    </row>
    <row r="3">
      <c r="A3" s="2" t="inlineStr">
        <is>
          <t>EV/Sales ＼ Exit持分</t>
        </is>
      </c>
      <c r="B3" s="11" t="n">
        <v>0.08</v>
      </c>
      <c r="C3" s="11" t="n">
        <v>0.1</v>
      </c>
      <c r="D3" s="11" t="n">
        <v>0.11</v>
      </c>
      <c r="E3" s="11" t="n">
        <v>0.12</v>
      </c>
    </row>
    <row r="4">
      <c r="A4" s="2" t="n">
        <v>12</v>
      </c>
      <c r="B4" s="10">
        <f>ファンドリターナー!$B$6*$A4*B$3</f>
        <v/>
      </c>
      <c r="C4" s="10">
        <f>ファンドリターナー!$B$6*$A4*C$3</f>
        <v/>
      </c>
      <c r="D4" s="10">
        <f>ファンドリターナー!$B$6*$A4*D$3</f>
        <v/>
      </c>
      <c r="E4" s="10">
        <f>ファンドリターナー!$B$6*$A4*E$3</f>
        <v/>
      </c>
    </row>
    <row r="5">
      <c r="A5" s="2" t="n">
        <v>15</v>
      </c>
      <c r="B5" s="10">
        <f>ファンドリターナー!$B$6*$A5*B$3</f>
        <v/>
      </c>
      <c r="C5" s="10">
        <f>ファンドリターナー!$B$6*$A5*C$3</f>
        <v/>
      </c>
      <c r="D5" s="10">
        <f>ファンドリターナー!$B$6*$A5*D$3</f>
        <v/>
      </c>
      <c r="E5" s="10">
        <f>ファンドリターナー!$B$6*$A5*E$3</f>
        <v/>
      </c>
    </row>
    <row r="6">
      <c r="A6" s="2" t="n">
        <v>17</v>
      </c>
      <c r="B6" s="12">
        <f>ファンドリターナー!$B$6*$A6*B$3</f>
        <v/>
      </c>
      <c r="C6" s="12">
        <f>ファンドリターナー!$B$6*$A6*C$3</f>
        <v/>
      </c>
      <c r="D6" s="12">
        <f>ファンドリターナー!$B$6*$A6*D$3</f>
        <v/>
      </c>
      <c r="E6" s="12">
        <f>ファンドリターナー!$B$6*$A6*E$3</f>
        <v/>
      </c>
    </row>
    <row r="7">
      <c r="A7" s="2" t="n">
        <v>18</v>
      </c>
      <c r="B7" s="10">
        <f>ファンドリターナー!$B$6*$A7*B$3</f>
        <v/>
      </c>
      <c r="C7" s="10">
        <f>ファンドリターナー!$B$6*$A7*C$3</f>
        <v/>
      </c>
      <c r="D7" s="10">
        <f>ファンドリターナー!$B$6*$A7*D$3</f>
        <v/>
      </c>
      <c r="E7" s="10">
        <f>ファンドリターナー!$B$6*$A7*E$3</f>
        <v/>
      </c>
    </row>
    <row r="8">
      <c r="A8" s="2" t="n">
        <v>20</v>
      </c>
      <c r="B8" s="10">
        <f>ファンドリターナー!$B$6*$A8*B$3</f>
        <v/>
      </c>
      <c r="C8" s="10">
        <f>ファンドリターナー!$B$6*$A8*C$3</f>
        <v/>
      </c>
      <c r="D8" s="10">
        <f>ファンドリターナー!$B$6*$A8*D$3</f>
        <v/>
      </c>
      <c r="E8" s="10">
        <f>ファンドリターナー!$B$6*$A8*E$3</f>
        <v/>
      </c>
    </row>
  </sheetData>
  <mergeCells count="2">
    <mergeCell ref="A2:E2"/>
    <mergeCell ref="A1:E1"/>
  </mergeCells>
  <conditionalFormatting sqref="B4:E8">
    <cfRule type="cellIs" priority="1" operator="greaterThanOrEqual" dxfId="0">
      <formula>150</formula>
    </cfRule>
    <cfRule type="cellIs" priority="2" operator="lessThan" dxfId="1">
      <formula>150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2" customWidth="1" min="3" max="3"/>
    <col width="8" customWidth="1" min="4" max="4"/>
    <col width="8" customWidth="1" min="5" max="5"/>
    <col width="10" customWidth="1" min="6" max="6"/>
    <col width="22" customWidth="1" min="7" max="7"/>
  </cols>
  <sheetData>
    <row r="1">
      <c r="A1" s="1" t="inlineStr">
        <is>
          <t>★1社 + ◎2社で 250億超を作り、残り7社で元本前後(=べき乗則の形)</t>
        </is>
      </c>
    </row>
    <row r="2">
      <c r="A2" s="6" t="inlineStr">
        <is>
          <t>投下=億 / MOIC=X / 回収=億。Solafune行(F4) は ファンドリターナー!B10 連動。他9社は分布の形を示す想定値[仮]。</t>
        </is>
      </c>
    </row>
    <row r="3">
      <c r="A3" s="2" t="inlineStr">
        <is>
          <t>#</t>
        </is>
      </c>
      <c r="B3" s="2" t="inlineStr">
        <is>
          <t>会社</t>
        </is>
      </c>
      <c r="C3" s="2" t="inlineStr">
        <is>
          <t>区分</t>
        </is>
      </c>
      <c r="D3" s="2" t="inlineStr">
        <is>
          <t>投下</t>
        </is>
      </c>
      <c r="E3" s="2" t="inlineStr">
        <is>
          <t>MOIC</t>
        </is>
      </c>
      <c r="F3" s="2" t="inlineStr">
        <is>
          <t>回収</t>
        </is>
      </c>
      <c r="G3" s="2" t="inlineStr">
        <is>
          <t>領域</t>
        </is>
      </c>
    </row>
    <row r="4">
      <c r="A4" s="13" t="n">
        <v>1</v>
      </c>
      <c r="B4" s="13" t="inlineStr">
        <is>
          <t>Solafune</t>
        </is>
      </c>
      <c r="C4" s="13" t="inlineStr">
        <is>
          <t>★ファンドリターナー</t>
        </is>
      </c>
      <c r="D4" s="14" t="n">
        <v>16.5</v>
      </c>
      <c r="E4" s="15">
        <f>F4/D4</f>
        <v/>
      </c>
      <c r="F4" s="16">
        <f>ファンドリターナー!B10</f>
        <v/>
      </c>
      <c r="G4" s="13" t="inlineStr">
        <is>
          <t>衛星AI解析</t>
        </is>
      </c>
    </row>
    <row r="5">
      <c r="A5" t="n">
        <v>2</v>
      </c>
      <c r="B5" t="inlineStr">
        <is>
          <t>Humanity Brain</t>
        </is>
      </c>
      <c r="C5" t="inlineStr">
        <is>
          <t>◎ 3-5X級</t>
        </is>
      </c>
      <c r="D5" s="3" t="n">
        <v>16</v>
      </c>
      <c r="E5" s="10">
        <f>F5/D5</f>
        <v/>
      </c>
      <c r="F5" s="3" t="n">
        <v>160</v>
      </c>
      <c r="G5" t="inlineStr">
        <is>
          <t>認知戦AI</t>
        </is>
      </c>
    </row>
    <row r="6">
      <c r="A6" t="n">
        <v>3</v>
      </c>
      <c r="B6" t="inlineStr">
        <is>
          <t>C</t>
        </is>
      </c>
      <c r="C6" t="inlineStr">
        <is>
          <t>◎ 3-5X級</t>
        </is>
      </c>
      <c r="D6" s="3" t="n">
        <v>14</v>
      </c>
      <c r="E6" s="10">
        <f>F6/D6</f>
        <v/>
      </c>
      <c r="F6" s="3" t="n">
        <v>90</v>
      </c>
      <c r="G6" t="inlineStr">
        <is>
          <t>都市鉱山</t>
        </is>
      </c>
    </row>
    <row r="7">
      <c r="A7" t="n">
        <v>4</v>
      </c>
      <c r="B7" t="inlineStr">
        <is>
          <t>D</t>
        </is>
      </c>
      <c r="C7" t="inlineStr">
        <is>
          <t>○ 1-2X級</t>
        </is>
      </c>
      <c r="D7" s="3" t="n">
        <v>13</v>
      </c>
      <c r="E7" s="10">
        <f>F7/D7</f>
        <v/>
      </c>
      <c r="F7" s="3" t="n">
        <v>19.5</v>
      </c>
      <c r="G7" t="inlineStr">
        <is>
          <t>海上ISR</t>
        </is>
      </c>
    </row>
    <row r="8">
      <c r="A8" t="n">
        <v>5</v>
      </c>
      <c r="B8" t="inlineStr">
        <is>
          <t>E</t>
        </is>
      </c>
      <c r="C8" t="inlineStr">
        <is>
          <t>○ 1-2X級</t>
        </is>
      </c>
      <c r="D8" s="3" t="n">
        <v>13</v>
      </c>
      <c r="E8" s="10">
        <f>F8/D8</f>
        <v/>
      </c>
      <c r="F8" s="3" t="n">
        <v>19.5</v>
      </c>
      <c r="G8" t="inlineStr">
        <is>
          <t>センシング基盤</t>
        </is>
      </c>
    </row>
    <row r="9">
      <c r="A9" t="n">
        <v>6</v>
      </c>
      <c r="B9" t="inlineStr">
        <is>
          <t>F</t>
        </is>
      </c>
      <c r="C9" t="inlineStr">
        <is>
          <t>○ 1-2X級(元本)</t>
        </is>
      </c>
      <c r="D9" s="3" t="n">
        <v>12</v>
      </c>
      <c r="E9" s="10">
        <f>F9/D9</f>
        <v/>
      </c>
      <c r="F9" s="3" t="n">
        <v>12</v>
      </c>
      <c r="G9" t="inlineStr">
        <is>
          <t>早期SU</t>
        </is>
      </c>
    </row>
    <row r="10">
      <c r="A10" t="n">
        <v>7</v>
      </c>
      <c r="B10" t="inlineStr">
        <is>
          <t>G</t>
        </is>
      </c>
      <c r="C10" t="inlineStr">
        <is>
          <t>× 0-1X</t>
        </is>
      </c>
      <c r="D10" s="3" t="n">
        <v>11</v>
      </c>
      <c r="E10" s="10">
        <f>F10/D10</f>
        <v/>
      </c>
      <c r="F10" s="3" t="n">
        <v>5.5</v>
      </c>
      <c r="G10" t="inlineStr">
        <is>
          <t>早期SU</t>
        </is>
      </c>
    </row>
    <row r="11">
      <c r="A11" t="n">
        <v>8</v>
      </c>
      <c r="B11" t="inlineStr">
        <is>
          <t>H</t>
        </is>
      </c>
      <c r="C11" t="inlineStr">
        <is>
          <t>× 0-1X</t>
        </is>
      </c>
      <c r="D11" s="3" t="n">
        <v>10</v>
      </c>
      <c r="E11" s="10">
        <f>F11/D11</f>
        <v/>
      </c>
      <c r="F11" s="3" t="n">
        <v>3</v>
      </c>
      <c r="G11" t="inlineStr">
        <is>
          <t>早期SU</t>
        </is>
      </c>
    </row>
    <row r="12">
      <c r="A12" t="n">
        <v>9</v>
      </c>
      <c r="B12" t="inlineStr">
        <is>
          <t>I</t>
        </is>
      </c>
      <c r="C12" t="inlineStr">
        <is>
          <t>× 全損</t>
        </is>
      </c>
      <c r="D12" s="3" t="n">
        <v>9</v>
      </c>
      <c r="E12" s="10">
        <f>F12/D12</f>
        <v/>
      </c>
      <c r="F12" s="3" t="n">
        <v>0</v>
      </c>
      <c r="G12" t="inlineStr">
        <is>
          <t>早期SU</t>
        </is>
      </c>
    </row>
    <row r="13">
      <c r="A13" t="n">
        <v>10</v>
      </c>
      <c r="B13" t="inlineStr">
        <is>
          <t>J</t>
        </is>
      </c>
      <c r="C13" t="inlineStr">
        <is>
          <t>× 全損</t>
        </is>
      </c>
      <c r="D13" s="3" t="n">
        <v>8</v>
      </c>
      <c r="E13" s="10">
        <f>F13/D13</f>
        <v/>
      </c>
      <c r="F13" s="3" t="n">
        <v>0</v>
      </c>
      <c r="G13" t="inlineStr">
        <is>
          <t>早期SU</t>
        </is>
      </c>
    </row>
    <row r="14">
      <c r="A14" s="13" t="n"/>
      <c r="B14" s="13" t="inlineStr">
        <is>
          <t>合計(10社)</t>
        </is>
      </c>
      <c r="C14" s="13" t="n"/>
      <c r="D14" s="16">
        <f>SUM(D4:D13)</f>
        <v/>
      </c>
      <c r="E14" s="17">
        <f>F14/D14</f>
        <v/>
      </c>
      <c r="F14" s="16">
        <f>SUM(F4:F13)</f>
        <v/>
      </c>
      <c r="G14" s="13" t="n"/>
    </row>
    <row r="16">
      <c r="A16" t="inlineStr">
        <is>
          <t>LP分配 (元本+利益80%)</t>
        </is>
      </c>
      <c r="B16" s="10">
        <f>前提!B3+0.8*(F14-前提!B3)</f>
        <v/>
      </c>
      <c r="C16" t="inlineStr">
        <is>
          <t>億</t>
        </is>
      </c>
    </row>
    <row r="17">
      <c r="A17" s="8" t="inlineStr">
        <is>
          <t>★ net DPI (対ファンド総額)</t>
        </is>
      </c>
      <c r="B17" s="18">
        <f>(前提!B3+0.8*(F14-前提!B3))/前提!B3</f>
        <v/>
      </c>
      <c r="C17" t="inlineStr">
        <is>
          <t>X</t>
        </is>
      </c>
    </row>
    <row r="18">
      <c r="A18" t="inlineStr">
        <is>
          <t>目標 net DPI 3.0X 到達度</t>
        </is>
      </c>
      <c r="B18" s="7">
        <f>B17/前提!B5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2026-06-22T03:08:34Z</dcterms:created>
  <dcterms:modified xsi:type="dcterms:W3CDTF">2026-06-22T03:08:34Z</dcterms:modified>
</cp:coreProperties>
</file>